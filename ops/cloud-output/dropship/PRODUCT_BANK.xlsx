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Suppliers" sheetId="2" state="visible" r:id="rId2"/>
    <sheet name="Margins" sheetId="3" state="visible" r:id="rId3"/>
    <sheet name="Bank40" sheetId="4" state="visible" r:id="rId4"/>
    <sheet name="OrderByDates" sheetId="5" state="visible" r:id="rId5"/>
  </sheets>
  <definedNames>
    <definedName name="_xlnm._FilterDatabase" localSheetId="0" hidden="1">'Candidates'!$A$1:$Q$124</definedName>
    <definedName name="_xlnm._FilterDatabase" localSheetId="1" hidden="1">'Suppliers'!$A$1:$R$121</definedName>
    <definedName name="_xlnm._FilterDatabase" localSheetId="3" hidden="1">'Bank40'!$A$1:$R$41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yyyy-mm-dd"/>
    <numFmt numFmtId="167" formatCode="ddd 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  <font>
      <name val="Arial"/>
      <color rgb="00008000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D62E73"/>
      </patternFill>
    </fill>
    <fill>
      <patternFill patternType="solid">
        <fgColor rgb="00FDE7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165" fontId="3" fillId="4" borderId="0" pivotButton="0" quotePrefix="0" xfId="0"/>
    <xf numFmtId="164" fontId="3" fillId="4" borderId="0" pivotButton="0" quotePrefix="0" xfId="0"/>
    <xf numFmtId="9" fontId="3" fillId="4" borderId="0" pivotButton="0" quotePrefix="0" xfId="0"/>
    <xf numFmtId="165" fontId="4" fillId="0" borderId="0" pivotButton="0" quotePrefix="0" xfId="0"/>
    <xf numFmtId="0" fontId="7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7" fontId="3" fillId="0" borderId="0" pivotButton="0" quotePrefix="0" xfId="0"/>
    <xf numFmtId="167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26" customWidth="1" min="4" max="4"/>
    <col width="40" customWidth="1" min="5" max="5"/>
    <col width="18" customWidth="1" min="6" max="6"/>
    <col width="40" customWidth="1" min="7" max="7"/>
    <col width="12" customWidth="1" min="8" max="8"/>
    <col width="16" customWidth="1" min="9" max="9"/>
    <col width="40" customWidth="1" min="10" max="10"/>
    <col width="20" customWidth="1" min="11" max="11"/>
    <col width="20" customWidth="1" min="12" max="12"/>
    <col width="14" customWidth="1" min="13" max="13"/>
    <col width="14" customWidth="1" min="14" max="14"/>
    <col width="40" customWidth="1" min="15" max="15"/>
    <col width="12" customWidth="1" min="16" max="16"/>
    <col width="40" customWidth="1" min="17" max="17"/>
  </cols>
  <sheetData>
    <row r="1">
      <c r="A1" s="1" t="inlineStr">
        <is>
          <t>ID</t>
        </is>
      </c>
      <c r="B1" s="1" t="inlineStr">
        <is>
          <t>Candidate</t>
        </is>
      </c>
      <c r="C1" s="1" t="inlineStr">
        <is>
          <t>Category</t>
        </is>
      </c>
      <c r="D1" s="1" t="inlineStr">
        <is>
          <t>Look line</t>
        </is>
      </c>
      <c r="E1" s="1" t="inlineStr">
        <is>
          <t>Strongest signal</t>
        </is>
      </c>
      <c r="F1" s="1" t="inlineStr">
        <is>
          <t>Signal source</t>
        </is>
      </c>
      <c r="G1" s="1" t="inlineStr">
        <is>
          <t>Signal URL</t>
        </is>
      </c>
      <c r="H1" s="1" t="inlineStr">
        <is>
          <t>Signal date</t>
        </is>
      </c>
      <c r="I1" s="1" t="inlineStr">
        <is>
          <t>Signal verified?</t>
        </is>
      </c>
      <c r="J1" s="1" t="inlineStr">
        <is>
          <t>Other signals</t>
        </is>
      </c>
      <c r="K1" s="1" t="inlineStr">
        <is>
          <t>Typical retail (seen)</t>
        </is>
      </c>
      <c r="L1" s="1" t="inlineStr">
        <is>
          <t>Typical supplier cost (seen)</t>
        </is>
      </c>
      <c r="M1" s="1" t="inlineStr">
        <is>
          <t>IP risk</t>
        </is>
      </c>
      <c r="N1" s="1" t="inlineStr">
        <is>
          <t>Battery or skin?</t>
        </is>
      </c>
      <c r="O1" s="1" t="inlineStr">
        <is>
          <t>Why it will pin</t>
        </is>
      </c>
      <c r="P1" s="1" t="inlineStr">
        <is>
          <t>Decision</t>
        </is>
      </c>
      <c r="Q1" s="1" t="inlineStr">
        <is>
          <t>Reject reason</t>
        </is>
      </c>
    </row>
    <row r="2">
      <c r="A2" s="2" t="inlineStr">
        <is>
          <t>C001</t>
        </is>
      </c>
      <c r="B2" s="2" t="inlineStr">
        <is>
          <t>Satin sleep bonnet (adjustable tie band, pink/blush)</t>
        </is>
      </c>
      <c r="C2" s="2" t="inlineStr">
        <is>
          <t>beauty-selfcare</t>
        </is>
      </c>
      <c r="D2" s="2" t="inlineStr">
        <is>
          <t>The Pink Bedtime Routine / Sunday Reset Self-Care list</t>
        </is>
      </c>
      <c r="E2" s="2" t="inlineStr">
        <is>
          <t>Keyword page 'hair bonnets' shows product card with 351.2K sold</t>
        </is>
      </c>
      <c r="F2" s="2" t="inlineStr">
        <is>
          <t>TikTok Shop</t>
        </is>
      </c>
      <c r="G2" s="2" t="inlineStr">
        <is>
          <t>https://shop.tiktok.com/us/k/hair-bonnets</t>
        </is>
      </c>
      <c r="H2" s="2" t="inlineStr">
        <is>
          <t>2026-09 (search snippet)</t>
        </is>
      </c>
      <c r="I2" s="2" t="inlineStr">
        <is>
          <t>seen in snippet (aggregated keyword page; sold count belongs to a product card on that page, exact SKU not confirmed)</t>
        </is>
      </c>
      <c r="J2" s="2" t="inlineStr">
        <is>
          <t>TikTok Shop: Keyword page 'satin bonnet for sleep leopard' shows 4.4K sold (https://shop.tiktok.com/us/k/satin-bonnet-for-sleep-leopard) | TikTok Shop: Keyword page 'satin bonnet before and after' shows product cards from 1.3K to 179K sold (https://shop.tiktok.com/us/k/satin-bonnet-before-and-after) | TikTok Shop: Keyword page 'satin vs silk bonnet' shows a card with 2.2M sold (https://shop.tiktok.com/us/k/satin-vs-silk-bonnet) | AliExpress: Two '2026 New' satin bonnet listings live (1005010652557849, 1005010511012337); order counts not visible in snippet (https://www.aliexpress.com/item/1005010652557849.html)</t>
        </is>
      </c>
      <c r="K2" s="2" t="inlineStr">
        <is>
          <t>TikTok Shop under $5 to $30+ per snippet; branded Bounce Curl bonnet $22.00 with 2.2K sold (https://shop.tiktok.com/us/k/bounce-curl-satin-bonnet)</t>
        </is>
      </c>
      <c r="L2" s="2" t="inlineStr">
        <is>
          <t>unknown (AliExpress listing prices not shown in snippet)</t>
        </is>
      </c>
      <c r="M2" s="2" t="inlineStr">
        <is>
          <t>none (avoid K-pop / character-print variants seen on TikTok Shop)</t>
        </is>
      </c>
      <c r="N2" s="2" t="inlineStr">
        <is>
          <t>none</t>
        </is>
      </c>
      <c r="O2" s="2" t="inlineStr">
        <is>
          <t>A blush satin bonnet with a bow is the hero of every pink 'night routine' flat lay and reads as self-care, not hair care.</t>
        </is>
      </c>
      <c r="P2" s="2" t="inlineStr">
        <is>
          <t>BANK Q14</t>
        </is>
      </c>
      <c r="Q2" s="2" t="inlineStr"/>
    </row>
    <row r="3">
      <c r="A3" s="2" t="inlineStr">
        <is>
          <t>C002</t>
        </is>
      </c>
      <c r="B3" s="2" t="inlineStr">
        <is>
          <t>Spa headband + wrist towel set (bow / coquette style, pink)</t>
        </is>
      </c>
      <c r="C3" s="2" t="inlineStr">
        <is>
          <t>beauty-selfcare</t>
        </is>
      </c>
      <c r="D3" s="2" t="inlineStr">
        <is>
          <t>The Pink Skincare Shelf / Everything Shower list</t>
        </is>
      </c>
      <c r="E3" s="2" t="inlineStr">
        <is>
          <t>Keyword page 'spa headband and wristband' shows product card with 13.7K sold at $2.11 (was $4.39, -52%)</t>
        </is>
      </c>
      <c r="F3" s="2" t="inlineStr">
        <is>
          <t>TikTok Shop</t>
        </is>
      </c>
      <c r="G3" s="2" t="inlineStr">
        <is>
          <t>https://shop.tiktok.com/us/k/spa-headband-and-wristband</t>
        </is>
      </c>
      <c r="H3" s="2" t="inlineStr">
        <is>
          <t>2026-09 (search snippet)</t>
        </is>
      </c>
      <c r="I3" s="2" t="inlineStr">
        <is>
          <t>seen in snippet</t>
        </is>
      </c>
      <c r="J3" s="2" t="inlineStr">
        <is>
          <t>TikTok Shop: Keyword page 'spa headband' shows card with 43 sold at $3.28 (was $7.99) (https://shop.tiktok.com/us/k/spa-headband)</t>
        </is>
      </c>
      <c r="K3" s="2" t="inlineStr">
        <is>
          <t>TikTok Shop $2.11 to $7.99 (snippet); blush set listing by Gnarley Charley https://shop.tiktok.com/us/pdp/blush-spa-headband-wristband-set-by-gnarley-charley-hair-accessory/1729441297081799237</t>
        </is>
      </c>
      <c r="L3" s="2" t="inlineStr">
        <is>
          <t>unknown</t>
        </is>
      </c>
      <c r="M3" s="2" t="inlineStr">
        <is>
          <t>none (skip 'cute bear' / character variants)</t>
        </is>
      </c>
      <c r="N3" s="2" t="inlineStr">
        <is>
          <t>none (worn on hair/wrists, not a cosmetic)</t>
        </is>
      </c>
      <c r="O3" s="2" t="inlineStr">
        <is>
          <t>Ultra-low price, bow-topped, and the first thing on screen in every GRWM skincare video.</t>
        </is>
      </c>
      <c r="P3" s="2" t="inlineStr">
        <is>
          <t>BANK E17</t>
        </is>
      </c>
      <c r="Q3" s="2" t="inlineStr"/>
    </row>
    <row r="4">
      <c r="A4" s="2" t="inlineStr">
        <is>
          <t>C003</t>
        </is>
      </c>
      <c r="B4" s="2" t="inlineStr">
        <is>
          <t>Travel makeup 'vanity bag' / large-capacity cosmetic case (pink)</t>
        </is>
      </c>
      <c r="C4" s="2" t="inlineStr">
        <is>
          <t>beauty-selfcare</t>
        </is>
      </c>
      <c r="D4" s="2" t="inlineStr">
        <is>
          <t>The Pink Weekend Trip / Carry-On Essentials list</t>
        </is>
      </c>
      <c r="E4" s="2" t="inlineStr">
        <is>
          <t>'Vanity Bag' approx. 206K searches/month, up 66% YoY (quoted by CJ Dropshipping blog citing Google Trends)</t>
        </is>
      </c>
      <c r="F4" s="2" t="inlineStr">
        <is>
          <t>Google Trends</t>
        </is>
      </c>
      <c r="G4" s="2" t="inlineStr">
        <is>
          <t>https://cjdropshipping.com/blogs/selling-strategies/google-trends-products</t>
        </is>
      </c>
      <c r="H4" s="2" t="inlineStr">
        <is>
          <t>2026 (CJ blog)</t>
        </is>
      </c>
      <c r="I4" s="2" t="inlineStr">
        <is>
          <t>seen in snippet (secondary source quoting Google Trends; not seen directly on trends.google.com)</t>
        </is>
      </c>
      <c r="J4" s="2" t="inlineStr">
        <is>
          <t>TikTok Shop: Keyword page 'pink makeup case' shows card with 51 sold at $13.80 (https://shop.tiktok.com/us/k/pink-makeup-case)</t>
        </is>
      </c>
      <c r="K4" s="2" t="inlineStr">
        <is>
          <t>TikTok Shop $13.80 to $16.19 (snippet); Amazon Best Sellers Cosmetic Travel Cases page https://www.amazon.com/Best-Sellers-Cosmetic-Travel-Cases/zgbs/beauty/11062811 (ranks not visible)</t>
        </is>
      </c>
      <c r="L4" s="2" t="inlineStr">
        <is>
          <t>unknown (CJ product page price not in snippet)</t>
        </is>
      </c>
      <c r="M4" s="2" t="inlineStr">
        <is>
          <t>none (avoid 'Saie', 'Rhode', 'Hailey Bieber' branded search terms seen on TikTok Shop)</t>
        </is>
      </c>
      <c r="N4" s="2" t="inlineStr">
        <is>
          <t>none</t>
        </is>
      </c>
      <c r="O4" s="2" t="inlineStr">
        <is>
          <t>Open-flat pink vanity case with adjustable dividers is the 'what's in my travel bag' pin format that gets saved for the next trip.</t>
        </is>
      </c>
      <c r="P4" s="2" t="inlineStr">
        <is>
          <t>BANK E13</t>
        </is>
      </c>
      <c r="Q4" s="2" t="inlineStr"/>
    </row>
    <row r="5">
      <c r="A5" s="2" t="inlineStr">
        <is>
          <t>C004</t>
        </is>
      </c>
      <c r="B5" s="2" t="inlineStr">
        <is>
          <t>Pink feather-trim pajama set</t>
        </is>
      </c>
      <c r="C5" s="2" t="inlineStr">
        <is>
          <t>beauty-selfcare</t>
        </is>
      </c>
      <c r="D5" s="2" t="inlineStr">
        <is>
          <t>The Pink Bedtime Routine / Bridal-Shower Loungewear list</t>
        </is>
      </c>
      <c r="E5" s="2" t="inlineStr">
        <is>
          <t>Keyword page 'pink feather pajamas' shows card with 3.4K sold at $15.40 (was $19.49, -21%)</t>
        </is>
      </c>
      <c r="F5" s="2" t="inlineStr">
        <is>
          <t>TikTok Shop</t>
        </is>
      </c>
      <c r="G5" s="2" t="inlineStr">
        <is>
          <t>https://shop.tiktok.com/us/k/pink-feather-pajamas</t>
        </is>
      </c>
      <c r="H5" s="2" t="inlineStr">
        <is>
          <t>2026-09 (search snippet)</t>
        </is>
      </c>
      <c r="I5" s="2" t="inlineStr">
        <is>
          <t>seen in snippet</t>
        </is>
      </c>
      <c r="J5" s="2" t="inlineStr">
        <is>
          <t>TikTok Shop: Keyword page 'pajama sets' shows card with 249 sold at $70.20 (limited time deal) (https://shop.tiktok.com/us/k/pajama-sets)</t>
        </is>
      </c>
      <c r="K5" s="2" t="inlineStr">
        <is>
          <t>TikTok Shop $15.40 to $26.54 (snippet)</t>
        </is>
      </c>
      <c r="L5" s="2" t="inlineStr">
        <is>
          <t>unknown</t>
        </is>
      </c>
      <c r="M5" s="2" t="inlineStr">
        <is>
          <t>none</t>
        </is>
      </c>
      <c r="N5" s="2" t="inlineStr">
        <is>
          <t>none</t>
        </is>
      </c>
      <c r="O5" s="2" t="inlineStr">
        <is>
          <t>Feather cuffs in baby pink are the 'Legally Blonde at home' look; it doubles as a gifting pin.</t>
        </is>
      </c>
      <c r="P5" s="2" t="inlineStr">
        <is>
          <t>BANK E21</t>
        </is>
      </c>
      <c r="Q5" s="2" t="inlineStr"/>
    </row>
    <row r="6">
      <c r="A6" s="2" t="inlineStr">
        <is>
          <t>C005</t>
        </is>
      </c>
      <c r="B6" s="2" t="inlineStr">
        <is>
          <t>Pink robe with fur/feather trim</t>
        </is>
      </c>
      <c r="C6" s="2" t="inlineStr">
        <is>
          <t>beauty-selfcare</t>
        </is>
      </c>
      <c r="D6" s="2" t="inlineStr">
        <is>
          <t>The Pink Bedtime Routine / Getting-Ready Robe list</t>
        </is>
      </c>
      <c r="E6" s="2" t="inlineStr">
        <is>
          <t>Keyword page 'pink robe with fur trim' shows card with 592 sold at $41.36</t>
        </is>
      </c>
      <c r="F6" s="2" t="inlineStr">
        <is>
          <t>TikTok Shop</t>
        </is>
      </c>
      <c r="G6" s="2" t="inlineStr">
        <is>
          <t>https://shop.tiktok.com/us/k/pink-robe-with-fur-trim</t>
        </is>
      </c>
      <c r="H6" s="2" t="inlineStr">
        <is>
          <t>2026-09 (search snippet)</t>
        </is>
      </c>
      <c r="I6" s="2" t="inlineStr">
        <is>
          <t>seen in snippet</t>
        </is>
      </c>
      <c r="J6" s="2" t="inlineStr">
        <is>
          <t>TikTok Shop: Keyword page 'fluffy robe' shows card with 11 sold, $6.61 to $9.45 (-30%) (https://shop.tiktok.com/us/k/fluffy-robe)</t>
        </is>
      </c>
      <c r="K6" s="2" t="inlineStr">
        <is>
          <t>TikTok Shop $35 to $88 for premium plush (snippet); 'The Viral Robe' pink https://shop.tiktok.com/us/pdp/soliana-signature-robe-by-viral-robe-pink-womens-loungewear/1729481808994734198</t>
        </is>
      </c>
      <c r="L6" s="2" t="inlineStr">
        <is>
          <t>unknown</t>
        </is>
      </c>
      <c r="M6" s="2" t="inlineStr">
        <is>
          <t>none (do not market as 'Viral Robe' brand)</t>
        </is>
      </c>
      <c r="N6" s="2" t="inlineStr">
        <is>
          <t>none</t>
        </is>
      </c>
      <c r="O6" s="2" t="inlineStr">
        <is>
          <t>The pink getting-ready robe is the bridal, birthday and Sunday-reset pin all in one.</t>
        </is>
      </c>
      <c r="P6" s="2" t="inlineStr">
        <is>
          <t>BANK E23</t>
        </is>
      </c>
      <c r="Q6" s="2" t="inlineStr"/>
    </row>
    <row r="7">
      <c r="A7" s="2" t="inlineStr">
        <is>
          <t>C006</t>
        </is>
      </c>
      <c r="B7" s="2" t="inlineStr">
        <is>
          <t>Puffy / fluffy pink slippers and slides</t>
        </is>
      </c>
      <c r="C7" s="2" t="inlineStr">
        <is>
          <t>beauty-selfcare</t>
        </is>
      </c>
      <c r="D7" s="2" t="inlineStr">
        <is>
          <t>The Pink Bedtime Routine / Cozy Pink Home list</t>
        </is>
      </c>
      <c r="E7" s="2" t="inlineStr">
        <is>
          <t>Keyword page 'puffy slides' shows card with 5.7K sold at $17.28 (was $24.34, -29%)</t>
        </is>
      </c>
      <c r="F7" s="2" t="inlineStr">
        <is>
          <t>TikTok Shop</t>
        </is>
      </c>
      <c r="G7" s="2" t="inlineStr">
        <is>
          <t>https://shop.tiktok.com/us/k/puffy-slides</t>
        </is>
      </c>
      <c r="H7" s="2" t="inlineStr">
        <is>
          <t>2026-09 (search snippet)</t>
        </is>
      </c>
      <c r="I7" s="2" t="inlineStr">
        <is>
          <t>seen in snippet</t>
        </is>
      </c>
      <c r="J7" s="2" t="inlineStr">
        <is>
          <t>TikTok Shop: Keyword page 'puffy slippers' shows card with 3.6K sold at $30.98 (flash sale) (https://shop.tiktok.com/us/k/puffy-slippers) | TikTok Shop: Keyword page 'pluffi slippers' shows card with 7.6K sold at $49.99 (branded, reference only) (https://shop.tiktok.com/us/k/pluffi-slippers)</t>
        </is>
      </c>
      <c r="K7" s="2" t="inlineStr">
        <is>
          <t>TikTok Shop $17.28 to $49.99 (snippet)</t>
        </is>
      </c>
      <c r="L7" s="2" t="inlineStr">
        <is>
          <t>unknown</t>
        </is>
      </c>
      <c r="M7" s="2" t="inlineStr">
        <is>
          <t>note: 'Pluffi' is a brand; sell generic puffy slides only, never as a dupe</t>
        </is>
      </c>
      <c r="N7" s="2" t="inlineStr">
        <is>
          <t>none</t>
        </is>
      </c>
      <c r="O7" s="2" t="inlineStr">
        <is>
          <t>Pillow-puffy pink slides are the shoe in every pink dorm and apartment flat lay.</t>
        </is>
      </c>
      <c r="P7" s="2" t="inlineStr">
        <is>
          <t>BANK E19</t>
        </is>
      </c>
      <c r="Q7" s="2" t="inlineStr"/>
    </row>
    <row r="8">
      <c r="A8" s="2" t="inlineStr">
        <is>
          <t>C007</t>
        </is>
      </c>
      <c r="B8" s="2" t="inlineStr">
        <is>
          <t>Silk / satin sleep mask (pink)</t>
        </is>
      </c>
      <c r="C8" s="2" t="inlineStr">
        <is>
          <t>beauty-selfcare</t>
        </is>
      </c>
      <c r="D8" s="2" t="inlineStr">
        <is>
          <t>The Pink Bedtime Routine / Travel Self-Care list</t>
        </is>
      </c>
      <c r="E8" s="2" t="inlineStr">
        <is>
          <t>Keyword page 'silk blindfold' shows card with 4.2K sold at $39.00</t>
        </is>
      </c>
      <c r="F8" s="2" t="inlineStr">
        <is>
          <t>TikTok Shop</t>
        </is>
      </c>
      <c r="G8" s="2" t="inlineStr">
        <is>
          <t>https://shop.tiktok.com/us/k/silk-blindfold</t>
        </is>
      </c>
      <c r="H8" s="2" t="inlineStr">
        <is>
          <t>2026-09 (search snippet)</t>
        </is>
      </c>
      <c r="I8" s="2" t="inlineStr">
        <is>
          <t>seen in snippet</t>
        </is>
      </c>
      <c r="J8" s="2" t="inlineStr"/>
      <c r="K8" s="2" t="inlineStr">
        <is>
          <t>TikTok Shop up to $39 for mulberry silk (snippet); pink mulberry silk mask listing https://shop.tiktok.com/us/pdp/silk-sleep-mask-by-litbear-22-momme-mulberry-silk-eye-mask-for-comfort/1729436920505209656</t>
        </is>
      </c>
      <c r="L8" s="2" t="inlineStr">
        <is>
          <t>unknown</t>
        </is>
      </c>
      <c r="M8" s="2" t="inlineStr">
        <is>
          <t>none (avoid 'Slip' brand references)</t>
        </is>
      </c>
      <c r="N8" s="2" t="inlineStr">
        <is>
          <t>note: touches face but is a textile accessory, not a cosmetic; no battery</t>
        </is>
      </c>
      <c r="O8" s="2" t="inlineStr">
        <is>
          <t>A pink silk mask with a bow is the cheapest 'luxury' item in the bedtime pin set.</t>
        </is>
      </c>
      <c r="P8" s="2" t="inlineStr">
        <is>
          <t>BANK E20</t>
        </is>
      </c>
      <c r="Q8" s="2" t="inlineStr"/>
    </row>
    <row r="9">
      <c r="A9" s="2" t="inlineStr">
        <is>
          <t>C008</t>
        </is>
      </c>
      <c r="B9" s="2" t="inlineStr">
        <is>
          <t>Hot pink desk / vanity organiser (multi-compartment)</t>
        </is>
      </c>
      <c r="C9" s="2" t="inlineStr">
        <is>
          <t>beauty-selfcare</t>
        </is>
      </c>
      <c r="D9" s="2" t="inlineStr">
        <is>
          <t>The Law School Desk Setup, All Pink / Pink Vanity Organisation list</t>
        </is>
      </c>
      <c r="E9" s="2" t="inlineStr">
        <is>
          <t>Keyword page 'hot pink desk organizer ideas' shows card with 7.7K sold at $10.99 (was $44.00, -75%)</t>
        </is>
      </c>
      <c r="F9" s="2" t="inlineStr">
        <is>
          <t>TikTok Shop</t>
        </is>
      </c>
      <c r="G9" s="2" t="inlineStr">
        <is>
          <t>https://shop.tiktok.com/us/k/hot-pink-desk-organizer-ideas</t>
        </is>
      </c>
      <c r="H9" s="2" t="inlineStr">
        <is>
          <t>2026-09 (search snippet)</t>
        </is>
      </c>
      <c r="I9" s="2" t="inlineStr">
        <is>
          <t>seen in snippet</t>
        </is>
      </c>
      <c r="J9" s="2" t="inlineStr"/>
      <c r="K9" s="2" t="inlineStr">
        <is>
          <t>TikTok Shop $10.99 (snippet)</t>
        </is>
      </c>
      <c r="L9" s="2" t="inlineStr">
        <is>
          <t>unknown</t>
        </is>
      </c>
      <c r="M9" s="2" t="inlineStr">
        <is>
          <t>none</t>
        </is>
      </c>
      <c r="N9" s="2" t="inlineStr">
        <is>
          <t>none</t>
        </is>
      </c>
      <c r="O9" s="2" t="inlineStr">
        <is>
          <t>Crosses over office and vanity: one hot-pink organiser that works on a desk or dresser gets saved to both boards.</t>
        </is>
      </c>
      <c r="P9" s="2" t="inlineStr">
        <is>
          <t>BANK E16</t>
        </is>
      </c>
      <c r="Q9" s="2" t="inlineStr"/>
    </row>
    <row r="10">
      <c r="A10" s="2" t="inlineStr">
        <is>
          <t>C009</t>
        </is>
      </c>
      <c r="B10" s="2" t="inlineStr">
        <is>
          <t>Glitter / pink makeup brush holder cup</t>
        </is>
      </c>
      <c r="C10" s="2" t="inlineStr">
        <is>
          <t>beauty-selfcare</t>
        </is>
      </c>
      <c r="D10" s="2" t="inlineStr">
        <is>
          <t>The Pink Vanity Organisation list</t>
        </is>
      </c>
      <c r="E10" s="2" t="inlineStr">
        <is>
          <t>Keyword page 'glitter makeup holder' shows card with 1.3K sold at $12.30</t>
        </is>
      </c>
      <c r="F10" s="2" t="inlineStr">
        <is>
          <t>TikTok Shop</t>
        </is>
      </c>
      <c r="G10" s="2" t="inlineStr">
        <is>
          <t>https://shop.tiktok.com/us/k/glitter-makeup-holder</t>
        </is>
      </c>
      <c r="H10" s="2" t="inlineStr">
        <is>
          <t>2026-09 (search snippet)</t>
        </is>
      </c>
      <c r="I10" s="2" t="inlineStr">
        <is>
          <t>seen in snippet</t>
        </is>
      </c>
      <c r="J10" s="2" t="inlineStr">
        <is>
          <t>TikTok Shop: Keyword page 'silicone makeup brush case' shows card with 170 sold at $5.45 (was $8.39, -35%) (https://shop.tiktok.com/us/k/silicone-makeup-brush-case)</t>
        </is>
      </c>
      <c r="K10" s="2" t="inlineStr">
        <is>
          <t>TikTok Shop $5.45 to $12.30 (snippet)</t>
        </is>
      </c>
      <c r="L10" s="2" t="inlineStr">
        <is>
          <t>AliExpress pearl acrylic brush holder with lid listed at US $11.50 https://www.aliexpress.com/item/M-makeup-brush-holder-pearls-organizer-acrylic-plastic-clear-cosmetic-brush-white-pink-pearls-storage-box/32954351202.html</t>
        </is>
      </c>
      <c r="M10" s="2" t="inlineStr">
        <is>
          <t>none</t>
        </is>
      </c>
      <c r="N10" s="2" t="inlineStr">
        <is>
          <t>none</t>
        </is>
      </c>
      <c r="O10" s="2" t="inlineStr">
        <is>
          <t>Pearl-filled or glitter brush cups are the detail shot in every pink vanity tour.</t>
        </is>
      </c>
      <c r="P10" s="2" t="inlineStr">
        <is>
          <t>BANK E14</t>
        </is>
      </c>
      <c r="Q10" s="2" t="inlineStr"/>
    </row>
    <row r="11">
      <c r="A11" s="2" t="inlineStr">
        <is>
          <t>C010</t>
        </is>
      </c>
      <c r="B11" s="2" t="inlineStr">
        <is>
          <t>Acrylic perfume / vanity display tray (2-tier or mirrored)</t>
        </is>
      </c>
      <c r="C11" s="2" t="inlineStr">
        <is>
          <t>beauty-selfcare</t>
        </is>
      </c>
      <c r="D11" s="2" t="inlineStr">
        <is>
          <t>The Pink Vanity Organisation / Perfume Shelf list</t>
        </is>
      </c>
      <c r="E11" s="2" t="inlineStr">
        <is>
          <t>Keyword page 'perfume vanity tray organizer' shows product cards with 25, 29, 55 and 1.5K sold</t>
        </is>
      </c>
      <c r="F11" s="2" t="inlineStr">
        <is>
          <t>TikTok Shop</t>
        </is>
      </c>
      <c r="G11" s="2" t="inlineStr">
        <is>
          <t>https://shop.tiktok.com/us/k/perfume-vanity-tray-organizer</t>
        </is>
      </c>
      <c r="H11" s="2" t="inlineStr">
        <is>
          <t>2026-09 (search snippet)</t>
        </is>
      </c>
      <c r="I11" s="2" t="inlineStr">
        <is>
          <t>seen in snippet</t>
        </is>
      </c>
      <c r="J11" s="2" t="inlineStr">
        <is>
          <t>TikTok Shop: NiHome 2-Tier Acrylic Perfume Display Stand listing shows 173 sold (https://shop.tiktok.com/us/pdp/acrylic-perfume-display-stand-by-nihome-2-tier-organizer-for-vanity/1730302818778518451) | TikTok Shop: Keyword page 'perfume tray wooden' shows cards from 4 to 5,000 sold, one at 260 sold (https://shop.tiktok.com/us/k/perfume-tray-wooden) | TikTok Shop: Keyword page 'perfume tray' shows cards with 35, 195 and 461.7K sold (https://shop.tiktok.com/us/k/perfume-tray)</t>
        </is>
      </c>
      <c r="K11" s="2" t="inlineStr">
        <is>
          <t>unknown (prices not in snippet)</t>
        </is>
      </c>
      <c r="L11" s="2" t="inlineStr">
        <is>
          <t>unknown</t>
        </is>
      </c>
      <c r="M11" s="2" t="inlineStr">
        <is>
          <t>none</t>
        </is>
      </c>
      <c r="N11" s="2" t="inlineStr">
        <is>
          <t>none (tray only, no perfume)</t>
        </is>
      </c>
      <c r="O11" s="2" t="inlineStr">
        <is>
          <t>The perfume-tray shot is the most-saved vanity pin format; a pink or gold-trim tray sells the styling, not the scent.</t>
        </is>
      </c>
      <c r="P11" s="2" t="inlineStr">
        <is>
          <t>BANK E15</t>
        </is>
      </c>
      <c r="Q11" s="2" t="inlineStr"/>
    </row>
    <row r="12">
      <c r="A12" s="2" t="inlineStr">
        <is>
          <t>C011</t>
        </is>
      </c>
      <c r="B12" s="2" t="inlineStr">
        <is>
          <t>Heatless satin curling rod / headband set (pink)</t>
        </is>
      </c>
      <c r="C12" s="2" t="inlineStr">
        <is>
          <t>beauty-selfcare</t>
        </is>
      </c>
      <c r="D12" s="2" t="inlineStr">
        <is>
          <t>The Pink Bedtime Routine / Heatless Blowout list</t>
        </is>
      </c>
      <c r="E12" s="2" t="inlineStr">
        <is>
          <t>Keyword page 'home-bargains-heatless-curlers' shows card with 64 sold at $3.67 (was $19.99)</t>
        </is>
      </c>
      <c r="F12" s="2" t="inlineStr">
        <is>
          <t>TikTok Shop</t>
        </is>
      </c>
      <c r="G12" s="2" t="inlineStr">
        <is>
          <t>https://shop.tiktok.com/us/k/home-bargains-heatless-curlers</t>
        </is>
      </c>
      <c r="H12" s="2" t="inlineStr">
        <is>
          <t>2026-09 (search snippet)</t>
        </is>
      </c>
      <c r="I12" s="2" t="inlineStr">
        <is>
          <t>seen in snippet</t>
        </is>
      </c>
      <c r="J12" s="2" t="inlineStr">
        <is>
          <t>TikTok Shop: Keyword page 'best heatless curle' shows card with 39 sold at $22.98 (https://shop.tiktok.com/us/k/best-heatless-curle) | TikTok Shop: Keyword page 'heatless curlers for short hair' shows card with 23 sold at $6.12 (https://shop.tiktok.com/us/k/heatless-curlers-for-short-hair) | Amazon Best Sellers: Amazon listing titled '2026 New Upgraded Eight Claw Design Satin Heatless Curling Rod' live (rank not in snippet) (https://www.amazon.com/clp/B0D4LWJT8P)</t>
        </is>
      </c>
      <c r="K12" s="2" t="inlineStr">
        <is>
          <t>TikTok Shop $3.67 to $22.98 (snippet); Kitsch branded set on TikTok Shop for reference https://shop.tiktok.com/us/pdp/kitsch-heatless-curling-rod-4pcs-jumbo-satin-hair-curlers-for-all-types/1729433840720515122</t>
        </is>
      </c>
      <c r="L12" s="2" t="inlineStr">
        <is>
          <t>unknown (AliExpress prices not shown)</t>
        </is>
      </c>
      <c r="M12" s="2" t="inlineStr">
        <is>
          <t>note: avoid 'Kitsch' and 'BT21 x Kitsch' branded sets; generic satin rod only</t>
        </is>
      </c>
      <c r="N12" s="2" t="inlineStr">
        <is>
          <t>none</t>
        </is>
      </c>
      <c r="O12" s="2" t="inlineStr">
        <is>
          <t>Sold counts on TikTok are modest per SKU, but the pink 9-piece bundle (rod + bonnet + scrunchie + mask) is a ready-made 'heatless night routine' pin.</t>
        </is>
      </c>
      <c r="P12" s="2" t="inlineStr">
        <is>
          <t>BANK E22</t>
        </is>
      </c>
      <c r="Q12" s="2" t="inlineStr"/>
    </row>
    <row r="13">
      <c r="A13" s="3" t="inlineStr">
        <is>
          <t>C012</t>
        </is>
      </c>
      <c r="B13" s="3" t="inlineStr">
        <is>
          <t>Jewelry box / bracelet organiser (pink velvet or felt)</t>
        </is>
      </c>
      <c r="C13" s="3" t="inlineStr">
        <is>
          <t>beauty-selfcare</t>
        </is>
      </c>
      <c r="D13" s="3" t="inlineStr">
        <is>
          <t>The Pink Vanity Organisation / Gifting for Her list</t>
        </is>
      </c>
      <c r="E13" s="3" t="inlineStr">
        <is>
          <t>Keyword page 'jewellery boxes' shows card with 464 sold at -77% limited time deal</t>
        </is>
      </c>
      <c r="F13" s="3" t="inlineStr">
        <is>
          <t>TikTok Shop</t>
        </is>
      </c>
      <c r="G13" s="3" t="inlineStr">
        <is>
          <t>https://shop.tiktok.com/us/k/jewellery-boxes</t>
        </is>
      </c>
      <c r="H13" s="3" t="inlineStr">
        <is>
          <t>2026-09 (search snippet)</t>
        </is>
      </c>
      <c r="I13" s="3" t="inlineStr">
        <is>
          <t>seen in snippet</t>
        </is>
      </c>
      <c r="J13" s="3" t="inlineStr"/>
      <c r="K13" s="3" t="inlineStr">
        <is>
          <t>unknown (deal price not in snippet); pink felt bracelet box listing https://shop.tiktok.com/us/pdp/p6nk-jewelry-organizer-real-pink-felt-black-exterior/1732046163444142193</t>
        </is>
      </c>
      <c r="L13" s="3" t="inlineStr">
        <is>
          <t>unknown</t>
        </is>
      </c>
      <c r="M13" s="3" t="inlineStr">
        <is>
          <t>none (skip 'Pandora' branded boxes seen at 79 sold)</t>
        </is>
      </c>
      <c r="N13" s="3" t="inlineStr">
        <is>
          <t>none</t>
        </is>
      </c>
      <c r="O13" s="3" t="inlineStr">
        <is>
          <t>A pink velvet jewelry box is the vanity pin that also gets saved as a gift idea.</t>
        </is>
      </c>
      <c r="P13" s="3" t="inlineStr">
        <is>
          <t>REJECT</t>
        </is>
      </c>
      <c r="Q13" s="3" t="inlineStr">
        <is>
          <t>Numeric signal exists but weaker than the 40 kept, or it duplicates a kept product in the same look.</t>
        </is>
      </c>
    </row>
    <row r="14">
      <c r="A14" s="3" t="inlineStr">
        <is>
          <t>C013</t>
        </is>
      </c>
      <c r="B14" s="3" t="inlineStr">
        <is>
          <t>Silicone makeup sponge holder (pink)</t>
        </is>
      </c>
      <c r="C14" s="3" t="inlineStr">
        <is>
          <t>beauty-selfcare</t>
        </is>
      </c>
      <c r="D14" s="3" t="inlineStr">
        <is>
          <t>The Pink Vanity Organisation list</t>
        </is>
      </c>
      <c r="E14" s="3" t="inlineStr">
        <is>
          <t>Keyword page 'makeup sponges holders' related listings show sold quantities ranging from 1 to 11.7K</t>
        </is>
      </c>
      <c r="F14" s="3" t="inlineStr">
        <is>
          <t>TikTok Shop</t>
        </is>
      </c>
      <c r="G14" s="3" t="inlineStr">
        <is>
          <t>https://shop.tiktok.com/us/k/makeup-sponges-holders</t>
        </is>
      </c>
      <c r="H14" s="3" t="inlineStr">
        <is>
          <t>2026-09 (search snippet)</t>
        </is>
      </c>
      <c r="I14" s="3" t="inlineStr">
        <is>
          <t>unverified: 11.7K figure appeared in a related-search card; exact SKU not identified</t>
        </is>
      </c>
      <c r="J14" s="3" t="inlineStr"/>
      <c r="K14" s="3" t="inlineStr">
        <is>
          <t>unknown; pink silicone holder listing https://shop.tiktok.com/us/pdp/silicone-makeup-sponge-holder-portable-durable-pink/1731600449249513992</t>
        </is>
      </c>
      <c r="L14" s="3" t="inlineStr">
        <is>
          <t>unknown</t>
        </is>
      </c>
      <c r="M14" s="3" t="inlineStr">
        <is>
          <t>none</t>
        </is>
      </c>
      <c r="N14" s="3" t="inlineStr">
        <is>
          <t>none</t>
        </is>
      </c>
      <c r="O14" s="3" t="inlineStr">
        <is>
          <t>Tiny, cheap, pink, and solves the 'where do I dry my sponge' problem shown in every vanity tour.</t>
        </is>
      </c>
      <c r="P14" s="3" t="inlineStr">
        <is>
          <t>REJECT</t>
        </is>
      </c>
      <c r="Q14" s="3" t="inlineStr">
        <is>
          <t>Numeric signal exists but weaker than the 40 kept, or it duplicates a kept product in the same look.</t>
        </is>
      </c>
    </row>
    <row r="15">
      <c r="A15" s="2" t="inlineStr">
        <is>
          <t>C014</t>
        </is>
      </c>
      <c r="B15" s="2" t="inlineStr">
        <is>
          <t>Covered acrylic makeup organiser (dustproof lid)</t>
        </is>
      </c>
      <c r="C15" s="2" t="inlineStr">
        <is>
          <t>beauty-selfcare</t>
        </is>
      </c>
      <c r="D15" s="2" t="inlineStr">
        <is>
          <t>The Pink Vanity Organisation list</t>
        </is>
      </c>
      <c r="E15" s="2" t="inlineStr">
        <is>
          <t>Keyword page 'covered makeup organizer' shows card with 45 sold at $13.98 (was $28.99, -52%)</t>
        </is>
      </c>
      <c r="F15" s="2" t="inlineStr">
        <is>
          <t>TikTok Shop</t>
        </is>
      </c>
      <c r="G15" s="2" t="inlineStr">
        <is>
          <t>https://shop.tiktok.com/us/k/covered-makeup-organizer</t>
        </is>
      </c>
      <c r="H15" s="2" t="inlineStr">
        <is>
          <t>2026-09 (search snippet)</t>
        </is>
      </c>
      <c r="I15" s="2" t="inlineStr">
        <is>
          <t>seen in snippet</t>
        </is>
      </c>
      <c r="J15" s="2" t="inlineStr"/>
      <c r="K15" s="2" t="inlineStr">
        <is>
          <t>TikTok Shop $13.98 (snippet); Amazon Best Sellers Cosmetic Display Cases page https://www.amazon.com/Best-Sellers-Cosmetic-Display-Cases/zgbs/beauty/13861693011 (ranks not visible)</t>
        </is>
      </c>
      <c r="L15" s="2" t="inlineStr">
        <is>
          <t>AliExpress rotating pink acrylic organiser listed at US $179.98 (outlier, not a dropship price) https://www.aliexpress.com/item/Hot-Sale-Ailla-Pink-Acrylic-Makeup-Organizer-Rotating-Cosmetic-Tool-Cases-Jewelry-Storage-Holder/32802626744.html</t>
        </is>
      </c>
      <c r="M15" s="2" t="inlineStr">
        <is>
          <t>none</t>
        </is>
      </c>
      <c r="N15" s="2" t="inlineStr">
        <is>
          <t>none</t>
        </is>
      </c>
      <c r="O15" s="2" t="inlineStr">
        <is>
          <t>Clear-with-pink-lid organisers are the base layer of every pink vanity pin; weak sold signal so far, listed for completeness.</t>
        </is>
      </c>
      <c r="P15" s="2" t="inlineStr">
        <is>
          <t>BANK E18</t>
        </is>
      </c>
      <c r="Q15" s="2" t="inlineStr"/>
    </row>
    <row r="16">
      <c r="A16" s="3" t="inlineStr">
        <is>
          <t>C015</t>
        </is>
      </c>
      <c r="B16" s="3" t="inlineStr">
        <is>
          <t>Claw clip (pearl / rhinestone / jelly pink)</t>
        </is>
      </c>
      <c r="C16" s="3" t="inlineStr">
        <is>
          <t>beauty-selfcare</t>
        </is>
      </c>
      <c r="D16" s="3" t="inlineStr">
        <is>
          <t>The Girly Professional Hair Accessories list</t>
        </is>
      </c>
      <c r="E16" s="3" t="inlineStr">
        <is>
          <t>Keyword page 'claw clamps' shows card with 10 sold at $4.99 (limited time deal)</t>
        </is>
      </c>
      <c r="F16" s="3" t="inlineStr">
        <is>
          <t>TikTok Shop</t>
        </is>
      </c>
      <c r="G16" s="3" t="inlineStr">
        <is>
          <t>https://shop.tiktok.com/us/k/claw-clamps</t>
        </is>
      </c>
      <c r="H16" s="3" t="inlineStr">
        <is>
          <t>2026-09 (search snippet)</t>
        </is>
      </c>
      <c r="I16" s="3" t="inlineStr">
        <is>
          <t>seen in snippet (weak)</t>
        </is>
      </c>
      <c r="J16" s="3" t="inlineStr">
        <is>
          <t>other: Who What Wear 2026: pearl and rhinestone claw clips and jelly claw clips called out as 2026 trend (no number) (https://www.whowhatwear.com/beauty/hair/hair-accessories-trends-2026)</t>
        </is>
      </c>
      <c r="K16" s="3" t="inlineStr">
        <is>
          <t>TikTok Shop $4.99 (snippet); jumbo fuchsia marble acetate clip listing https://shop.tiktok.com/us/pdp/hair-claw-by-ari-mae-jumbo-5-1-inch-fuchsia-marble-durable-acetate/1729403242832826423</t>
        </is>
      </c>
      <c r="L16" s="3" t="inlineStr">
        <is>
          <t>unknown</t>
        </is>
      </c>
      <c r="M16" s="3" t="inlineStr">
        <is>
          <t>none</t>
        </is>
      </c>
      <c r="N16" s="3" t="inlineStr">
        <is>
          <t>none</t>
        </is>
      </c>
      <c r="O16" s="3" t="inlineStr">
        <is>
          <t>The office-to-gym pink claw clip is the low-cost add-on in every 'girly professional' desk pin.</t>
        </is>
      </c>
      <c r="P16" s="3" t="inlineStr">
        <is>
          <t>REJECT</t>
        </is>
      </c>
      <c r="Q16" s="3" t="inlineStr">
        <is>
          <t>Numeric signal exists but weaker than the 40 kept, or it duplicates a kept product in the same look.</t>
        </is>
      </c>
    </row>
    <row r="17">
      <c r="A17" s="3" t="inlineStr">
        <is>
          <t>C016</t>
        </is>
      </c>
      <c r="B17" s="3" t="inlineStr">
        <is>
          <t>Satin hair bow clip (oversized, pink)</t>
        </is>
      </c>
      <c r="C17" s="3" t="inlineStr">
        <is>
          <t>beauty-selfcare</t>
        </is>
      </c>
      <c r="D17" s="3" t="inlineStr">
        <is>
          <t>The Girly Professional Hair Accessories / Coquette Bow list</t>
        </is>
      </c>
      <c r="E17" s="3" t="inlineStr">
        <is>
          <t>Pinterest Predicts 2026 coverage: 'bows and ribbons remain en vogue', preppy headbands and 'wonky' clips named (no number in snippet)</t>
        </is>
      </c>
      <c r="F17" s="3" t="inlineStr">
        <is>
          <t>Pinterest Predicts</t>
        </is>
      </c>
      <c r="G17" s="3" t="inlineStr">
        <is>
          <t>https://beautymatter.com/articles/pinterest-predicts-2026</t>
        </is>
      </c>
      <c r="H17" s="3" t="inlineStr">
        <is>
          <t>2026</t>
        </is>
      </c>
      <c r="I17" s="3" t="inlineStr">
        <is>
          <t>unverified: qualitative, no percentage seen</t>
        </is>
      </c>
      <c r="J17" s="3" t="inlineStr">
        <is>
          <t>other: Who What Wear summer 2026: 'oversized satin bow clips' named as trend, 2026 Golden Globes cited (no number) (https://www.whowhatwear.com/beauty/hair/hair-accessories-trends-summer-2026)</t>
        </is>
      </c>
      <c r="K17" s="3" t="inlineStr">
        <is>
          <t>unknown; Cider satin bow clip listing on TikTok Shop https://shop.tiktok.com/us/pdp/bow-satin-hair-clip-by-cider-available-in-3-colors-one-size/1729462576036286551</t>
        </is>
      </c>
      <c r="L17" s="3" t="inlineStr">
        <is>
          <t>unknown</t>
        </is>
      </c>
      <c r="M17" s="3" t="inlineStr">
        <is>
          <t>none (generic bow)</t>
        </is>
      </c>
      <c r="N17" s="3" t="inlineStr">
        <is>
          <t>none</t>
        </is>
      </c>
      <c r="O17" s="3" t="inlineStr">
        <is>
          <t>The pink bow is the single most-pinned motif of the niche; no numeric sold count captured before search budget ran out.</t>
        </is>
      </c>
      <c r="P17" s="3" t="inlineStr">
        <is>
          <t>REJECT</t>
        </is>
      </c>
      <c r="Q17" s="3" t="inlineStr">
        <is>
          <t>Numeric signal exists but weaker than the 40 kept, or it duplicates a kept product in the same look.</t>
        </is>
      </c>
    </row>
    <row r="18">
      <c r="A18" s="3" t="inlineStr">
        <is>
          <t>C017</t>
        </is>
      </c>
      <c r="B18" s="3" t="inlineStr">
        <is>
          <t>Satin pillowcase (blush / hot pink, ruffle edge)</t>
        </is>
      </c>
      <c r="C18" s="3" t="inlineStr">
        <is>
          <t>beauty-selfcare</t>
        </is>
      </c>
      <c r="D18" s="3" t="inlineStr">
        <is>
          <t>The Pink Bedroom / Beauty Sleep list</t>
        </is>
      </c>
      <c r="E18" s="3" t="inlineStr">
        <is>
          <t>Hot pink satin pillowcase 2/4-pack and blush ruffle set listings live; sold counts not in snippet</t>
        </is>
      </c>
      <c r="F18" s="3" t="inlineStr">
        <is>
          <t>TikTok Shop</t>
        </is>
      </c>
      <c r="G18" s="3" t="inlineStr">
        <is>
          <t>https://shop.tiktok.com/us/pdp/hot-pink-satin-silk-pillowcases-cooling-envelope-closure/1729502446753716118</t>
        </is>
      </c>
      <c r="H18" s="3" t="inlineStr">
        <is>
          <t>2026-09</t>
        </is>
      </c>
      <c r="I18" s="3" t="inlineStr">
        <is>
          <t>unverified: no sold count in snippet</t>
        </is>
      </c>
      <c r="J18" s="3" t="inlineStr"/>
      <c r="K18" s="3" t="inlineStr">
        <is>
          <t>unknown</t>
        </is>
      </c>
      <c r="L18" s="3" t="inlineStr">
        <is>
          <t>unknown</t>
        </is>
      </c>
      <c r="M18" s="3" t="inlineStr">
        <is>
          <t>none</t>
        </is>
      </c>
      <c r="N18" s="3" t="inlineStr">
        <is>
          <t>none</t>
        </is>
      </c>
      <c r="O18" s="3" t="inlineStr">
        <is>
          <t>Blush ruffle satin pillowcases are the bed-styling pin that pairs with the bonnet and sleep mask.</t>
        </is>
      </c>
      <c r="P18" s="3" t="inlineStr">
        <is>
          <t>REJECT</t>
        </is>
      </c>
      <c r="Q18" s="3" t="inlineStr">
        <is>
          <t>No numeric signal found (listings exist, counts not visible in snippets).</t>
        </is>
      </c>
    </row>
    <row r="19">
      <c r="A19" s="3" t="inlineStr">
        <is>
          <t>C018</t>
        </is>
      </c>
      <c r="B19" s="3" t="inlineStr">
        <is>
          <t>Padded / preppy headband (pink, bow or pearl)</t>
        </is>
      </c>
      <c r="C19" s="3" t="inlineStr">
        <is>
          <t>beauty-selfcare</t>
        </is>
      </c>
      <c r="D19" s="3" t="inlineStr">
        <is>
          <t>The Girly Professional Hair Accessories list</t>
        </is>
      </c>
      <c r="E19" s="3" t="inlineStr">
        <is>
          <t>2026 coverage names 'preppy headbands' as of-the-moment (no number)</t>
        </is>
      </c>
      <c r="F19" s="3" t="inlineStr">
        <is>
          <t>Pinterest Predicts</t>
        </is>
      </c>
      <c r="G19" s="3" t="inlineStr">
        <is>
          <t>https://beautymatter.com/articles/pinterest-predicts-2026</t>
        </is>
      </c>
      <c r="H19" s="3" t="inlineStr">
        <is>
          <t>2026</t>
        </is>
      </c>
      <c r="I19" s="3" t="inlineStr">
        <is>
          <t>unverified: qualitative</t>
        </is>
      </c>
      <c r="J19" s="3" t="inlineStr"/>
      <c r="K19" s="3" t="inlineStr">
        <is>
          <t>unknown; multiple pink padded headband listings on TikTok Shop e.g. https://shop.tiktok.com/us/pdp/preppy-pink-padded-headband-with-white-bows-sparkling-gems/1731919925721862765</t>
        </is>
      </c>
      <c r="L19" s="3" t="inlineStr">
        <is>
          <t>unknown</t>
        </is>
      </c>
      <c r="M19" s="3" t="inlineStr">
        <is>
          <t>none</t>
        </is>
      </c>
      <c r="N19" s="3" t="inlineStr">
        <is>
          <t>none</t>
        </is>
      </c>
      <c r="O19" s="3" t="inlineStr">
        <is>
          <t>The pearl-trim pink padded headband is the 'law school' hair accessory.</t>
        </is>
      </c>
      <c r="P19" s="3" t="inlineStr">
        <is>
          <t>REJECT</t>
        </is>
      </c>
      <c r="Q19" s="3" t="inlineStr">
        <is>
          <t>No numeric signal found (listings exist, counts not visible in snippets).</t>
        </is>
      </c>
    </row>
    <row r="20">
      <c r="A20" s="3" t="inlineStr">
        <is>
          <t>C019</t>
        </is>
      </c>
      <c r="B20" s="3" t="inlineStr">
        <is>
          <t>Microfiber hair towel wrap (pink)</t>
        </is>
      </c>
      <c r="C20" s="3" t="inlineStr">
        <is>
          <t>beauty-selfcare</t>
        </is>
      </c>
      <c r="D20" s="3" t="inlineStr">
        <is>
          <t>The Everything Shower list</t>
        </is>
      </c>
      <c r="E20" s="3" t="inlineStr">
        <is>
          <t>NO SIGNAL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unknown; TikTok Shop listings e.g. https://shop.tiktok.com/us/pdp/microfiber-hair-towel-wrap-by-formul-a-anti-frizz-super-absorbent-fast-drying/1731938102315487689</t>
        </is>
      </c>
      <c r="L20" s="3" t="inlineStr">
        <is>
          <t>unknown</t>
        </is>
      </c>
      <c r="M20" s="3" t="inlineStr">
        <is>
          <t>none</t>
        </is>
      </c>
      <c r="N20" s="3" t="inlineStr">
        <is>
          <t>none</t>
        </is>
      </c>
      <c r="O20" s="3" t="inlineStr">
        <is>
          <t>Pink towel wrap plus spa headband is the post-shower pin.</t>
        </is>
      </c>
      <c r="P20" s="3" t="inlineStr">
        <is>
          <t>REJECT</t>
        </is>
      </c>
      <c r="Q20" s="3" t="inlineStr">
        <is>
          <t>No numeric signal found (listings exist, counts not visible in snippets).</t>
        </is>
      </c>
    </row>
    <row r="21">
      <c r="A21" s="3" t="inlineStr">
        <is>
          <t>C020</t>
        </is>
      </c>
      <c r="B21" s="3" t="inlineStr">
        <is>
          <t>Reusable satin-lined shower cap (pink)</t>
        </is>
      </c>
      <c r="C21" s="3" t="inlineStr">
        <is>
          <t>beauty-selfcare</t>
        </is>
      </c>
      <c r="D21" s="3" t="inlineStr">
        <is>
          <t>The Everything Shower list</t>
        </is>
      </c>
      <c r="E21" s="3" t="inlineStr">
        <is>
          <t>NO SIGNAL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unknown; listing https://shop.tiktok.com/us/pdp/pink-shower-cap-reusable-high-quality-triple-layer-13-inch-diameter-perfect-for-long-hair-dreadlocks/1731429933936120751</t>
        </is>
      </c>
      <c r="L21" s="3" t="inlineStr">
        <is>
          <t>unknown</t>
        </is>
      </c>
      <c r="M21" s="3" t="inlineStr">
        <is>
          <t>none (avoid Kitsch branded)</t>
        </is>
      </c>
      <c r="N21" s="3" t="inlineStr">
        <is>
          <t>none</t>
        </is>
      </c>
      <c r="O21" s="3" t="inlineStr">
        <is>
          <t>Bundles naturally with the bonnet and heatless rod set.</t>
        </is>
      </c>
      <c r="P21" s="3" t="inlineStr">
        <is>
          <t>REJECT</t>
        </is>
      </c>
      <c r="Q21" s="3" t="inlineStr">
        <is>
          <t>No numeric signal found (listings exist, counts not visible in snippets).</t>
        </is>
      </c>
    </row>
    <row r="22">
      <c r="A22" s="3" t="inlineStr">
        <is>
          <t>C021</t>
        </is>
      </c>
      <c r="B22" s="3" t="inlineStr">
        <is>
          <t>Satin scrunchie set (pink, oversized)</t>
        </is>
      </c>
      <c r="C22" s="3" t="inlineStr">
        <is>
          <t>beauty-selfcare</t>
        </is>
      </c>
      <c r="D22" s="3" t="inlineStr">
        <is>
          <t>The Girly Professional Hair Accessories list</t>
        </is>
      </c>
      <c r="E22" s="3" t="inlineStr">
        <is>
          <t>NO SIGNAL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unknown; 60-pack listing https://shop.tiktok.com/us/pdp/satin-scrunchies-60-pack-by-silk-elegance-soft-hair-accessories-for-all/1729628567057961975</t>
        </is>
      </c>
      <c r="L22" s="3" t="inlineStr">
        <is>
          <t>unknown</t>
        </is>
      </c>
      <c r="M22" s="3" t="inlineStr">
        <is>
          <t>none</t>
        </is>
      </c>
      <c r="N22" s="3" t="inlineStr">
        <is>
          <t>none</t>
        </is>
      </c>
      <c r="O22" s="3" t="inlineStr">
        <is>
          <t>Low-ticket add-on for the heatless / bonnet bundle.</t>
        </is>
      </c>
      <c r="P22" s="3" t="inlineStr">
        <is>
          <t>REJECT</t>
        </is>
      </c>
      <c r="Q22" s="3" t="inlineStr">
        <is>
          <t>No numeric signal found (listings exist, counts not visible in snippets).</t>
        </is>
      </c>
    </row>
    <row r="23">
      <c r="A23" s="3" t="inlineStr">
        <is>
          <t>C022</t>
        </is>
      </c>
      <c r="B23" s="3" t="inlineStr">
        <is>
          <t>Travel jewelry case (pink, small zip)</t>
        </is>
      </c>
      <c r="C23" s="3" t="inlineStr">
        <is>
          <t>beauty-selfcare</t>
        </is>
      </c>
      <c r="D23" s="3" t="inlineStr">
        <is>
          <t>The Pink Weekend Trip / Bridesmaid Gifting list</t>
        </is>
      </c>
      <c r="E23" s="3" t="inlineStr">
        <is>
          <t>NO SIGNAL</t>
        </is>
      </c>
      <c r="F23" s="3" t="inlineStr"/>
      <c r="G23" s="3" t="inlineStr"/>
      <c r="H23" s="3" t="inlineStr"/>
      <c r="I23" s="3" t="inlineStr"/>
      <c r="J23" s="3" t="inlineStr"/>
      <c r="K23" s="3" t="inlineStr">
        <is>
          <t>unknown; 8-pc bridesmaid pink set listing https://shop.tiktok.com/us/pdp/acrylic-jewelry-box-by-unbranded-clear-organizer-with-15-zipper-bags/1730743806890972120</t>
        </is>
      </c>
      <c r="L23" s="3" t="inlineStr">
        <is>
          <t>unknown</t>
        </is>
      </c>
      <c r="M23" s="3" t="inlineStr">
        <is>
          <t>none</t>
        </is>
      </c>
      <c r="N23" s="3" t="inlineStr">
        <is>
          <t>none</t>
        </is>
      </c>
      <c r="O23" s="3" t="inlineStr">
        <is>
          <t>Fits the travel flat lay with the vanity bag.</t>
        </is>
      </c>
      <c r="P23" s="3" t="inlineStr">
        <is>
          <t>REJECT</t>
        </is>
      </c>
      <c r="Q23" s="3" t="inlineStr">
        <is>
          <t>No numeric signal found (listings exist, counts not visible in snippets).</t>
        </is>
      </c>
    </row>
    <row r="24">
      <c r="A24" s="3" t="inlineStr">
        <is>
          <t>C023</t>
        </is>
      </c>
      <c r="B24" s="3" t="inlineStr">
        <is>
          <t>Hanging toiletry bag (pink)</t>
        </is>
      </c>
      <c r="C24" s="3" t="inlineStr">
        <is>
          <t>beauty-selfcare</t>
        </is>
      </c>
      <c r="D24" s="3" t="inlineStr">
        <is>
          <t>The Pink Weekend Trip list</t>
        </is>
      </c>
      <c r="E24" s="3" t="inlineStr">
        <is>
          <t>Keyword page 'western makeup bags pink' shows card with 10 sold at $32.43 (was $60.05, -46%)</t>
        </is>
      </c>
      <c r="F24" s="3" t="inlineStr">
        <is>
          <t>TikTok Shop</t>
        </is>
      </c>
      <c r="G24" s="3" t="inlineStr">
        <is>
          <t>https://shop.tiktok.com/us/k/western-makeup-bags-pink</t>
        </is>
      </c>
      <c r="H24" s="3" t="inlineStr">
        <is>
          <t>2026-09 (search snippet)</t>
        </is>
      </c>
      <c r="I24" s="3" t="inlineStr">
        <is>
          <t>seen in snippet (weak)</t>
        </is>
      </c>
      <c r="J24" s="3" t="inlineStr"/>
      <c r="K24" s="3" t="inlineStr">
        <is>
          <t>TikTok Shop $32.43 (snippet)</t>
        </is>
      </c>
      <c r="L24" s="3" t="inlineStr">
        <is>
          <t>unknown</t>
        </is>
      </c>
      <c r="M24" s="3" t="inlineStr">
        <is>
          <t>none</t>
        </is>
      </c>
      <c r="N24" s="3" t="inlineStr">
        <is>
          <t>none</t>
        </is>
      </c>
      <c r="O24" s="3" t="inlineStr">
        <is>
          <t>Secondary to the vanity bag; weak signal.</t>
        </is>
      </c>
      <c r="P24" s="3" t="inlineStr">
        <is>
          <t>REJECT</t>
        </is>
      </c>
      <c r="Q24" s="3" t="inlineStr">
        <is>
          <t>No numeric signal found (listings exist, counts not visible in snippets).</t>
        </is>
      </c>
    </row>
    <row r="25">
      <c r="A25" s="3" t="inlineStr">
        <is>
          <t>C024</t>
        </is>
      </c>
      <c r="B25" s="3" t="inlineStr">
        <is>
          <t>Bath caddy tray</t>
        </is>
      </c>
      <c r="C25" s="3" t="inlineStr">
        <is>
          <t>beauty-selfcare</t>
        </is>
      </c>
      <c r="D25" s="3" t="inlineStr">
        <is>
          <t>The Pink Everything Shower / Bath list</t>
        </is>
      </c>
      <c r="E25" s="3" t="inlineStr">
        <is>
          <t>Keyword page 'hygiene caddy' shows card with 1 sold at $8.16</t>
        </is>
      </c>
      <c r="F25" s="3" t="inlineStr">
        <is>
          <t>TikTok Shop</t>
        </is>
      </c>
      <c r="G25" s="3" t="inlineStr">
        <is>
          <t>https://shop.tiktok.com/us/k/hygiene-caddy</t>
        </is>
      </c>
      <c r="H25" s="3" t="inlineStr">
        <is>
          <t>2026-09 (search snippet)</t>
        </is>
      </c>
      <c r="I25" s="3" t="inlineStr">
        <is>
          <t>seen in snippet (negligible)</t>
        </is>
      </c>
      <c r="J25" s="3" t="inlineStr"/>
      <c r="K25" s="3" t="inlineStr">
        <is>
          <t>unknown</t>
        </is>
      </c>
      <c r="L25" s="3" t="inlineStr">
        <is>
          <t>unknown</t>
        </is>
      </c>
      <c r="M25" s="3" t="inlineStr">
        <is>
          <t>none</t>
        </is>
      </c>
      <c r="N25" s="3" t="inlineStr">
        <is>
          <t>none</t>
        </is>
      </c>
      <c r="O25" s="3" t="inlineStr">
        <is>
          <t>Bath-tray pin format is strong but no sales number captured.</t>
        </is>
      </c>
      <c r="P25" s="3" t="inlineStr">
        <is>
          <t>REJECT</t>
        </is>
      </c>
      <c r="Q25" s="3" t="inlineStr">
        <is>
          <t>No numeric signal found (listings exist, counts not visible in snippets).</t>
        </is>
      </c>
    </row>
    <row r="26">
      <c r="A26" s="3" t="inlineStr">
        <is>
          <t>C025</t>
        </is>
      </c>
      <c r="B26" s="3" t="inlineStr">
        <is>
          <t>Nail care kit without glue (files, buffers, cuticle tools, pink case)</t>
        </is>
      </c>
      <c r="C26" s="3" t="inlineStr">
        <is>
          <t>beauty-selfcare</t>
        </is>
      </c>
      <c r="D26" s="3" t="inlineStr">
        <is>
          <t>The Pink Vanity / At-Home Manicure list</t>
        </is>
      </c>
      <c r="E26" s="3" t="inlineStr">
        <is>
          <t>NO SIGNAL</t>
        </is>
      </c>
      <c r="F26" s="3" t="inlineStr"/>
      <c r="G26" s="3" t="inlineStr"/>
      <c r="H26" s="3" t="inlineStr"/>
      <c r="I26" s="3" t="inlineStr"/>
      <c r="J26" s="3" t="inlineStr"/>
      <c r="K26" s="3" t="inlineStr">
        <is>
          <t>unknown</t>
        </is>
      </c>
      <c r="L26" s="3" t="inlineStr">
        <is>
          <t>unknown</t>
        </is>
      </c>
      <c r="M26" s="3" t="inlineStr">
        <is>
          <t>none (avoid branded gel kits with UV lamps: battery/electronics)</t>
        </is>
      </c>
      <c r="N26" s="3" t="inlineStr">
        <is>
          <t>none if tools only</t>
        </is>
      </c>
      <c r="O26" s="3" t="inlineStr">
        <is>
          <t>Fits the manicure-Sunday pin; no numbers found before budget ran out.</t>
        </is>
      </c>
      <c r="P26" s="3" t="inlineStr">
        <is>
          <t>REJECT</t>
        </is>
      </c>
      <c r="Q26" s="3" t="inlineStr">
        <is>
          <t>No numeric signal found (listings exist, counts not visible in snippets).</t>
        </is>
      </c>
    </row>
    <row r="27">
      <c r="A27" s="3" t="inlineStr">
        <is>
          <t>C026</t>
        </is>
      </c>
      <c r="B27" s="3" t="inlineStr">
        <is>
          <t>Pink calming donut / raised dog bed</t>
        </is>
      </c>
      <c r="C27" s="3" t="inlineStr">
        <is>
          <t>dog</t>
        </is>
      </c>
      <c r="D27" s="3" t="inlineStr">
        <is>
          <t>Pink Home, Dorm and Car Finds - the pink dog corner</t>
        </is>
      </c>
      <c r="E27" s="3" t="inlineStr">
        <is>
          <t>Amazon search 'pink raised dog bed': top results show up to 5K+ bought in past month</t>
        </is>
      </c>
      <c r="F27" s="3" t="inlineStr">
        <is>
          <t>Amazon Best Sellers</t>
        </is>
      </c>
      <c r="G27" s="3" t="inlineStr">
        <is>
          <t>https://www.amazon.com/pink-raised-dog-bed/s?k=pink+raised+dog+bed</t>
        </is>
      </c>
      <c r="H27" s="3" t="inlineStr">
        <is>
          <t>2026-09-27</t>
        </is>
      </c>
      <c r="I27" s="3" t="inlineStr">
        <is>
          <t>seen in snippet (search-tool summary of Amazon results page; exact ASIN not shown)</t>
        </is>
      </c>
      <c r="J27" s="3" t="inlineStr">
        <is>
          <t>Amazon Best Sellers: Amazon search 'pink calming dog bed': popular options show 2K+ bought in past month (https://www.amazon.com/pink-calming-dog-bed/s?k=pink+calming+dog+bed) | Amazon Best Sellers: Amazon search 'pink puppy bed': some products 3K+ bought in past month (https://www.amazon.com/pink-puppy-bed/s?k=pink+puppy+bed) | Amazon Best Sellers: 'Non-Slip Bottom Egg-Crate Memory Foam Big Dog Couch Bed, Dusty Pink, 44 inch' 500+ bought in past month (https://www.amazon.com/dusty-pink-dog-bed/s?k=dusty+pink+dog+bed)</t>
        </is>
      </c>
      <c r="K27" s="3" t="inlineStr">
        <is>
          <t>unknown (Amazon price not shown in snippets)</t>
        </is>
      </c>
      <c r="L27" s="3" t="inlineStr">
        <is>
          <t>unknown</t>
        </is>
      </c>
      <c r="M27" s="3" t="inlineStr">
        <is>
          <t>none</t>
        </is>
      </c>
      <c r="N27" s="3" t="inlineStr">
        <is>
          <t>none</t>
        </is>
      </c>
      <c r="O27" s="3" t="inlineStr">
        <is>
          <t>A blush dog bed that matches the pink sofa is the flat-lay hero of every 'pink dog mom home' board.</t>
        </is>
      </c>
      <c r="P27" s="3" t="inlineStr">
        <is>
          <t>REJECT</t>
        </is>
      </c>
      <c r="Q27" s="3" t="inlineStr">
        <is>
          <t>Bulky or heavy: inbound shipping pushes the price out of the Pink Finds band.</t>
        </is>
      </c>
    </row>
    <row r="28">
      <c r="A28" s="2" t="inlineStr">
        <is>
          <t>C027</t>
        </is>
      </c>
      <c r="B28" s="2" t="inlineStr">
        <is>
          <t>Blush pink packing cubes set (6 to 8 pc)</t>
        </is>
      </c>
      <c r="C28" s="2" t="inlineStr">
        <is>
          <t>gifting</t>
        </is>
      </c>
      <c r="D28" s="2" t="inlineStr">
        <is>
          <t>Pink travel set / girls-trip packing list</t>
        </is>
      </c>
      <c r="E28" s="2" t="inlineStr">
        <is>
          <t>Amazon search 'pink packing cubes': products show from 50+ up to 4K+ bought in past month</t>
        </is>
      </c>
      <c r="F28" s="2" t="inlineStr">
        <is>
          <t>Amazon Best Sellers</t>
        </is>
      </c>
      <c r="G28" s="2" t="inlineStr">
        <is>
          <t>https://www.amazon.com/pink-packing-cubes/s?k=pink+packing+cubes</t>
        </is>
      </c>
      <c r="H28" s="2" t="inlineStr">
        <is>
          <t>2026-09-27</t>
        </is>
      </c>
      <c r="I28" s="2" t="inlineStr">
        <is>
          <t>seen in snippet (search-tool summary of Amazon results page; which listing carries 4K+ not shown)</t>
        </is>
      </c>
      <c r="J28" s="2" t="inlineStr">
        <is>
          <t>other: risingtrends/Glimpse jewelry-trends roundup: travel accessories saw an overall 16% sales increase in the first two months of 2026 (https://www.risingtrends.co/trends/jewelry-trends-2026)</t>
        </is>
      </c>
      <c r="K28" s="2" t="inlineStr">
        <is>
          <t>unknown; reference listing BAGAIL 8-set Blush Pink https://www.amazon.com/BAGAIL-Packing-Lightweight-Organizers-Toiletry/dp/B08S38PLQG (price not in snippet)</t>
        </is>
      </c>
      <c r="L28" s="2" t="inlineStr">
        <is>
          <t>unknown</t>
        </is>
      </c>
      <c r="M28" s="2" t="inlineStr">
        <is>
          <t>none (avoid BAGAIL/BEIS branding)</t>
        </is>
      </c>
      <c r="N28" s="2" t="inlineStr">
        <is>
          <t>none</t>
        </is>
      </c>
      <c r="O28" s="2" t="inlineStr">
        <is>
          <t>Colour-coordinated pink cubes inside an open suitcase is a classic 'pack with me' pin.</t>
        </is>
      </c>
      <c r="P28" s="2" t="inlineStr">
        <is>
          <t>BANK Q13</t>
        </is>
      </c>
      <c r="Q28" s="2" t="inlineStr"/>
    </row>
    <row r="29">
      <c r="A29" s="2" t="inlineStr">
        <is>
          <t>C028</t>
        </is>
      </c>
      <c r="B29" s="2" t="inlineStr">
        <is>
          <t>Pink velvet jewelry box with lock</t>
        </is>
      </c>
      <c r="C29" s="2" t="inlineStr">
        <is>
          <t>gifting</t>
        </is>
      </c>
      <c r="D29" s="2" t="inlineStr">
        <is>
          <t>Pink vanity / gifts for her under $40</t>
        </is>
      </c>
      <c r="E29" s="2" t="inlineStr">
        <is>
          <t>Amazon search 'pink jewelry box': 100+ bought in past month; 'pink jewelry gift box': 200+ bought in past month; 'pink jewelry organizer': 50+ bought in past month</t>
        </is>
      </c>
      <c r="F29" s="2" t="inlineStr">
        <is>
          <t>Amazon Best Sellers</t>
        </is>
      </c>
      <c r="G29" s="2" t="inlineStr">
        <is>
          <t>https://www.amazon.com/pink-jewelry-box/s?k=pink+jewelry+box</t>
        </is>
      </c>
      <c r="H29" s="2" t="inlineStr">
        <is>
          <t>2026-09-27</t>
        </is>
      </c>
      <c r="I29" s="2" t="inlineStr">
        <is>
          <t>seen in snippet (search-tool summary of Amazon results pages)</t>
        </is>
      </c>
      <c r="J29" s="2" t="inlineStr">
        <is>
          <t>Amazon Best Sellers: QBestry pink velvet jewelry box with lock (B09SFQ2VGR) 50+ bought in past month (https://www.amazon.com/Organizer-QBestry-Necklace-Bracelets-Earrings/dp/B09SFQ2VGR) | TikTok Shop: TikTok Shop 'hot-pink-jewelry-box' page: items priced $9.99 to $89.99, several showing Sold status with 'thousands of units sold' (https://www.tiktok.com/shop/product/hot-pink-jewelry-box)</t>
        </is>
      </c>
      <c r="K29" s="2" t="inlineStr">
        <is>
          <t>$9.99 to $89.99 on TikTok Shop hot-pink jewelry box page (search summary)</t>
        </is>
      </c>
      <c r="L29" s="2" t="inlineStr">
        <is>
          <t>unknown</t>
        </is>
      </c>
      <c r="M29" s="2" t="inlineStr">
        <is>
          <t>none</t>
        </is>
      </c>
      <c r="N29" s="2" t="inlineStr">
        <is>
          <t>none</t>
        </is>
      </c>
      <c r="O29" s="2" t="inlineStr">
        <is>
          <t>A blush velvet box open on a marble vanity is the definitive 'gift for her' pin.</t>
        </is>
      </c>
      <c r="P29" s="2" t="inlineStr">
        <is>
          <t>BANK Q12</t>
        </is>
      </c>
      <c r="Q29" s="2" t="inlineStr"/>
    </row>
    <row r="30">
      <c r="A30" s="3" t="inlineStr">
        <is>
          <t>C029</t>
        </is>
      </c>
      <c r="B30" s="3" t="inlineStr">
        <is>
          <t>Pink travel jewelry case (small zip organizer)</t>
        </is>
      </c>
      <c r="C30" s="3" t="inlineStr">
        <is>
          <t>gifting</t>
        </is>
      </c>
      <c r="D30" s="3" t="inlineStr">
        <is>
          <t>Pink travel set / carry-on essentials</t>
        </is>
      </c>
      <c r="E30" s="3" t="inlineStr">
        <is>
          <t>Travel-jewelry products 'soared' in first two months of 2026; travel accessories +16% sales overall</t>
        </is>
      </c>
      <c r="F30" s="3" t="inlineStr">
        <is>
          <t>other</t>
        </is>
      </c>
      <c r="G30" s="3" t="inlineStr">
        <is>
          <t>https://www.risingtrends.co/trends/jewelry-trends-2026</t>
        </is>
      </c>
      <c r="H30" s="3" t="inlineStr">
        <is>
          <t>2026 (Jan-Feb)</t>
        </is>
      </c>
      <c r="I30" s="3" t="inlineStr">
        <is>
          <t>unverified: figure appeared in search summary; exact page not confirmed</t>
        </is>
      </c>
      <c r="J30" s="3" t="inlineStr">
        <is>
          <t>TikTok Shop: Travel jewelry organizer and 'travel jewelry boxes bulk' keyword pages exist on TikTok Shop US (no sold count captured) (https://www.tiktok.com/shop/product/jewelry-travel-organizer)</t>
        </is>
      </c>
      <c r="K30" s="3" t="inlineStr">
        <is>
          <t>unknown</t>
        </is>
      </c>
      <c r="L30" s="3" t="inlineStr">
        <is>
          <t>unknown</t>
        </is>
      </c>
      <c r="M30" s="3" t="inlineStr">
        <is>
          <t>none (avoid BAGSMART branding)</t>
        </is>
      </c>
      <c r="N30" s="3" t="inlineStr">
        <is>
          <t>none</t>
        </is>
      </c>
      <c r="O30" s="3" t="inlineStr">
        <is>
          <t>Fits the pink packing-cube flat lay; bundles naturally with luggage tag and passport cover.</t>
        </is>
      </c>
      <c r="P30" s="3" t="inlineStr">
        <is>
          <t>REJECT</t>
        </is>
      </c>
      <c r="Q30" s="3" t="inlineStr">
        <is>
          <t>Numeric signal exists but weaker than the 40 kept, or it duplicates a kept product in the same look.</t>
        </is>
      </c>
    </row>
    <row r="31">
      <c r="A31" s="3" t="inlineStr">
        <is>
          <t>C030</t>
        </is>
      </c>
      <c r="B31" s="3" t="inlineStr">
        <is>
          <t>Pink paper heart garland (6 ft)</t>
        </is>
      </c>
      <c r="C31" s="3" t="inlineStr">
        <is>
          <t>seasonal-valentines</t>
        </is>
      </c>
      <c r="D31" s="3" t="inlineStr">
        <is>
          <t>Pink Valentine's mantel / Galentine's table</t>
        </is>
      </c>
      <c r="E31" s="3" t="inlineStr">
        <is>
          <t>Etsy listing 'Red &amp; Pink Heart Garland, 6ft strand' (anyoccasionbanners) has 622 favorites</t>
        </is>
      </c>
      <c r="F31" s="3" t="inlineStr">
        <is>
          <t>Etsy</t>
        </is>
      </c>
      <c r="G31" s="3" t="inlineStr">
        <is>
          <t>https://www.etsy.com/listing/118450280/red-pink-heart-garland-valentines-day</t>
        </is>
      </c>
      <c r="H31" s="3" t="inlineStr">
        <is>
          <t>2026-09-27</t>
        </is>
      </c>
      <c r="I31" s="3" t="inlineStr">
        <is>
          <t>seen in snippet</t>
        </is>
      </c>
      <c r="J31" s="3" t="inlineStr">
        <is>
          <t>Etsy: Etsy listing 'Cupid and Heart Garland' (same shop) 125 favorites (https://www.etsy.com/listing/260078255/cupid-and-heart-garland-valentines-day) | Pinterest Trends: Pinterest data: 'Valentine's decor' searches doubled (Forbes, Valentine's 2026 coverage) (https://www.forbes.com/sites/katehardcastle/2026/02/13/valentines-2026-how-galentines-and-friendship-spending-are-expanding-the-business-of-love/)</t>
        </is>
      </c>
      <c r="K31" s="3" t="inlineStr">
        <is>
          <t>unknown (Etsy price not in snippet)</t>
        </is>
      </c>
      <c r="L31" s="3" t="inlineStr">
        <is>
          <t>unknown</t>
        </is>
      </c>
      <c r="M31" s="3" t="inlineStr">
        <is>
          <t>none</t>
        </is>
      </c>
      <c r="N31" s="3" t="inlineStr">
        <is>
          <t>none</t>
        </is>
      </c>
      <c r="O31" s="3" t="inlineStr">
        <is>
          <t>Cheapest way to make a mantel or desk read 'pink Valentine's' in one pin.</t>
        </is>
      </c>
      <c r="P31" s="3" t="inlineStr">
        <is>
          <t>REJECT</t>
        </is>
      </c>
      <c r="Q31" s="3" t="inlineStr">
        <is>
          <t>Numeric signal exists but weaker than the 40 kept, or it duplicates a kept product in the same look.</t>
        </is>
      </c>
    </row>
    <row r="32">
      <c r="A32" s="3" t="inlineStr">
        <is>
          <t>C031</t>
        </is>
      </c>
      <c r="B32" s="3" t="inlineStr">
        <is>
          <t>Galentine's party kit (pink plates, napkins, banner, straws)</t>
        </is>
      </c>
      <c r="C32" s="3" t="inlineStr">
        <is>
          <t>seasonal-valentines</t>
        </is>
      </c>
      <c r="D32" s="3" t="inlineStr">
        <is>
          <t>Galentine's brunch table, all pink</t>
        </is>
      </c>
      <c r="E32" s="3" t="inlineStr">
        <is>
          <t>Pinterest data indicates a 50% rise in 'Galentine's aesthetic' searches</t>
        </is>
      </c>
      <c r="F32" s="3" t="inlineStr">
        <is>
          <t>Pinterest Trends</t>
        </is>
      </c>
      <c r="G32" s="3" t="inlineStr">
        <is>
          <t>https://www.forbes.com/sites/katehardcastle/2026/02/13/valentines-2026-how-galentines-and-friendship-spending-are-expanding-the-business-of-love/</t>
        </is>
      </c>
      <c r="H32" s="3" t="inlineStr">
        <is>
          <t>2026-02-13</t>
        </is>
      </c>
      <c r="I32" s="3" t="inlineStr">
        <is>
          <t>seen in snippet</t>
        </is>
      </c>
      <c r="J32" s="3" t="inlineStr">
        <is>
          <t>other: 'Galentine's Day alone has surpassed 8.6 million searches, rising by 207%' (https://nationaltoday.com/us/ca/los-angeles/news/2026/02/13/galentines-and-friendship-spending-expand-the-modern-relationship-economy/) | other: Pinterest board '740 Best Galentine's Day Party Ideas in 2026' (prettycollected) holds 740 pins (https://www.pinterest.com/prettycollected/galentines-day-party-ideas/)</t>
        </is>
      </c>
      <c r="K32" s="3" t="inlineStr">
        <is>
          <t>unknown</t>
        </is>
      </c>
      <c r="L32" s="3" t="inlineStr">
        <is>
          <t>unknown</t>
        </is>
      </c>
      <c r="M32" s="3" t="inlineStr">
        <is>
          <t>none (keep text generic, no brand fonts)</t>
        </is>
      </c>
      <c r="N32" s="3" t="inlineStr">
        <is>
          <t>none</t>
        </is>
      </c>
      <c r="O32" s="3" t="inlineStr">
        <is>
          <t>Galentine's is the fastest-growing February occasion and it is pink by default.</t>
        </is>
      </c>
      <c r="P32" s="3" t="inlineStr">
        <is>
          <t>REJECT</t>
        </is>
      </c>
      <c r="Q32" s="3" t="inlineStr">
        <is>
          <t>Numeric signal exists but weaker than the 40 kept, or it duplicates a kept product in the same look.</t>
        </is>
      </c>
    </row>
    <row r="33">
      <c r="A33" s="3" t="inlineStr">
        <is>
          <t>C032</t>
        </is>
      </c>
      <c r="B33" s="3" t="inlineStr">
        <is>
          <t>Pink heart-shaped decor: heart pillow and heart-shaped tray</t>
        </is>
      </c>
      <c r="C33" s="3" t="inlineStr">
        <is>
          <t>seasonal-valentines</t>
        </is>
      </c>
      <c r="D33" s="3" t="inlineStr">
        <is>
          <t>Pink Valentine's living room / coffee table</t>
        </is>
      </c>
      <c r="E33" s="3" t="inlineStr">
        <is>
          <t>'Valentine's decor' searches doubled on Pinterest (Forbes, Feb 2026)</t>
        </is>
      </c>
      <c r="F33" s="3" t="inlineStr">
        <is>
          <t>Pinterest Trends</t>
        </is>
      </c>
      <c r="G33" s="3" t="inlineStr">
        <is>
          <t>https://www.forbes.com/sites/katehardcastle/2026/02/13/valentines-2026-how-galentines-and-friendship-spending-are-expanding-the-business-of-love/</t>
        </is>
      </c>
      <c r="H33" s="3" t="inlineStr">
        <is>
          <t>2026-02-13</t>
        </is>
      </c>
      <c r="I33" s="3" t="inlineStr">
        <is>
          <t>seen in snippet (category-level only; no product-level count found)</t>
        </is>
      </c>
      <c r="J33" s="3" t="inlineStr"/>
      <c r="K33" s="3" t="inlineStr">
        <is>
          <t>unknown</t>
        </is>
      </c>
      <c r="L33" s="3" t="inlineStr">
        <is>
          <t>unknown</t>
        </is>
      </c>
      <c r="M33" s="3" t="inlineStr">
        <is>
          <t>none</t>
        </is>
      </c>
      <c r="N33" s="3" t="inlineStr">
        <is>
          <t>none</t>
        </is>
      </c>
      <c r="O33" s="3" t="inlineStr">
        <is>
          <t>Heart pillow on a cream sofa is the lowest-effort Valentine's room refresh.</t>
        </is>
      </c>
      <c r="P33" s="3" t="inlineStr">
        <is>
          <t>REJECT</t>
        </is>
      </c>
      <c r="Q33" s="3" t="inlineStr">
        <is>
          <t>Numeric signal exists but weaker than the 40 kept, or it duplicates a kept product in the same look.</t>
        </is>
      </c>
    </row>
    <row r="34">
      <c r="A34" s="2" t="inlineStr">
        <is>
          <t>C033</t>
        </is>
      </c>
      <c r="B34" s="2" t="inlineStr">
        <is>
          <t>Pink bow party decor kit (bow garland, bow cake topper, bow napkins)</t>
        </is>
      </c>
      <c r="C34" s="2" t="inlineStr">
        <is>
          <t>gifting</t>
        </is>
      </c>
      <c r="D34" s="2" t="inlineStr">
        <is>
          <t>Pink bow party / bow-themed gifts</t>
        </is>
      </c>
      <c r="E34" s="2" t="inlineStr">
        <is>
          <t>Pinterest board 'Pink Bow Grad Party ideas in 2026' holds 200 pins; Pinterest has dedicated 'Pink Bow Party' and 'Bow Party Decor' ideas hubs</t>
        </is>
      </c>
      <c r="F34" s="2" t="inlineStr">
        <is>
          <t>other</t>
        </is>
      </c>
      <c r="G34" s="2" t="inlineStr">
        <is>
          <t>https://www.pinterest.com/ideas/pink-bow-party/955183510608/</t>
        </is>
      </c>
      <c r="H34" s="2" t="inlineStr">
        <is>
          <t>2026</t>
        </is>
      </c>
      <c r="I34" s="2" t="inlineStr">
        <is>
          <t>seen in snippet (board pin count, weak; no Pinterest Trends percentage captured)</t>
        </is>
      </c>
      <c r="J34" s="2" t="inlineStr">
        <is>
          <t>Pinterest Trends: 'Galentine's aesthetic' +50% (bow-themed Galentine's party pins sit inside this trend) (https://www.forbes.com/sites/katehardcastle/2026/02/13/valentines-2026-how-galentines-and-friendship-spending-are-expanding-the-business-of-love/)</t>
        </is>
      </c>
      <c r="K34" s="2" t="inlineStr">
        <is>
          <t>unknown</t>
        </is>
      </c>
      <c r="L34" s="2" t="inlineStr">
        <is>
          <t>unknown</t>
        </is>
      </c>
      <c r="M34" s="2" t="inlineStr">
        <is>
          <t>none (generic bows only)</t>
        </is>
      </c>
      <c r="N34" s="2" t="inlineStr">
        <is>
          <t>none</t>
        </is>
      </c>
      <c r="O34" s="2" t="inlineStr">
        <is>
          <t>Bows are the signature motif of the pink-girly aesthetic; a bow garland photographs well on any table.</t>
        </is>
      </c>
      <c r="P34" s="2" t="inlineStr">
        <is>
          <t>BANK Q07</t>
        </is>
      </c>
      <c r="Q34" s="2" t="inlineStr"/>
    </row>
    <row r="35">
      <c r="A35" s="3" t="inlineStr">
        <is>
          <t>C034</t>
        </is>
      </c>
      <c r="B35" s="3" t="inlineStr">
        <is>
          <t>Pink ruffle dog bandana with matching bow</t>
        </is>
      </c>
      <c r="C35" s="3" t="inlineStr">
        <is>
          <t>dog</t>
        </is>
      </c>
      <c r="D35" s="3" t="inlineStr">
        <is>
          <t>Girly dog accessories / dog mom gift list</t>
        </is>
      </c>
      <c r="E35" s="3" t="inlineStr">
        <is>
          <t>Etsy listing 'Girly Pink Striped Ruffle Bandana' carries the Bestseller badge ('high sales volume over the past 6 months'); priced EUR 27.41, EUR 31.06 with matching bow</t>
        </is>
      </c>
      <c r="F35" s="3" t="inlineStr">
        <is>
          <t>Etsy</t>
        </is>
      </c>
      <c r="G35" s="3" t="inlineStr">
        <is>
          <t>https://www.etsy.com/listing/1817731525/custom-embroidered-dog-bandana-girly-dog</t>
        </is>
      </c>
      <c r="H35" s="3" t="inlineStr">
        <is>
          <t>2026-09-27</t>
        </is>
      </c>
      <c r="I35" s="3" t="inlineStr">
        <is>
          <t>seen in snippet (badge, no exact sales count)</t>
        </is>
      </c>
      <c r="J35" s="3" t="inlineStr">
        <is>
          <t>Etsy: Etsy 'pink dog bow' market page: 1,000+ unique items listed, prices under GBP 20 to over GBP 100 (https://www.etsy.com/uk/market/pink_dog_bow)</t>
        </is>
      </c>
      <c r="K35" s="3" t="inlineStr">
        <is>
          <t>EUR 27.41 bandana / EUR 31.06 with bow (Etsy listing 1817731525)</t>
        </is>
      </c>
      <c r="L35" s="3" t="inlineStr">
        <is>
          <t>unknown</t>
        </is>
      </c>
      <c r="M35" s="3" t="inlineStr">
        <is>
          <t>none</t>
        </is>
      </c>
      <c r="N35" s="3" t="inlineStr">
        <is>
          <t>none</t>
        </is>
      </c>
      <c r="O35" s="3" t="inlineStr">
        <is>
          <t>Matching pink bow on the dog is the 'dog mom' pin; low cost, high save rate.</t>
        </is>
      </c>
      <c r="P35" s="3" t="inlineStr">
        <is>
          <t>REJECT</t>
        </is>
      </c>
      <c r="Q35" s="3" t="inlineStr">
        <is>
          <t>Numeric signal exists but weaker than the 40 kept, or it duplicates a kept product in the same look.</t>
        </is>
      </c>
    </row>
    <row r="36">
      <c r="A36" s="2" t="inlineStr">
        <is>
          <t>C035</t>
        </is>
      </c>
      <c r="B36" s="2" t="inlineStr">
        <is>
          <t>Pink bow-stem champagne flutes, set of 4</t>
        </is>
      </c>
      <c r="C36" s="2" t="inlineStr">
        <is>
          <t>seasonal-nye</t>
        </is>
      </c>
      <c r="D36" s="2" t="inlineStr">
        <is>
          <t>Pink NYE bar cart / Galentine's toast</t>
        </is>
      </c>
      <c r="E36" s="2" t="inlineStr">
        <is>
          <t>TikTok Shop champagne-flute keyword page shows per-listing counts of 7, 3, 8 and 56 sold, prices $31.95 to $105.99</t>
        </is>
      </c>
      <c r="F36" s="2" t="inlineStr">
        <is>
          <t>TikTok Shop</t>
        </is>
      </c>
      <c r="G36" s="2" t="inlineStr">
        <is>
          <t>https://shop.tiktok.com/us/k/swarovski-champagne-flutes</t>
        </is>
      </c>
      <c r="H36" s="2" t="inlineStr">
        <is>
          <t>2026-09-27</t>
        </is>
      </c>
      <c r="I36" s="2" t="inlineStr">
        <is>
          <t>seen in snippet (keyword page is branded 'swarovski'; counts are for adjacent listings, not the pink bow set)</t>
        </is>
      </c>
      <c r="J36" s="2" t="inlineStr">
        <is>
          <t>other: eBay listing 'Pink Bow Gem Champagne Flutes, TikTok Viral Set of 4' describes the set as TikTok-viral limited edition (https://www.ebay.com/itm/276803467251)</t>
        </is>
      </c>
      <c r="K36" s="2" t="inlineStr">
        <is>
          <t>unknown for the pink bow set; flutes on TikTok Shop page listed $31.95 to $105.99</t>
        </is>
      </c>
      <c r="L36" s="2" t="inlineStr">
        <is>
          <t>unknown</t>
        </is>
      </c>
      <c r="M36" s="2" t="inlineStr">
        <is>
          <t>none (do not source Swarovski-branded items)</t>
        </is>
      </c>
      <c r="N36" s="2" t="inlineStr">
        <is>
          <t>none</t>
        </is>
      </c>
      <c r="O36" s="2" t="inlineStr">
        <is>
          <t>Bow-stem flutes with pink bubbly is the NYE-to-Valentine's crossover pin.</t>
        </is>
      </c>
      <c r="P36" s="2" t="inlineStr">
        <is>
          <t>BANK Q15</t>
        </is>
      </c>
      <c r="Q36" s="2" t="inlineStr"/>
    </row>
    <row r="37">
      <c r="A37" s="3" t="inlineStr">
        <is>
          <t>C036</t>
        </is>
      </c>
      <c r="B37" s="3" t="inlineStr">
        <is>
          <t>Pink plastic champagne flutes 5.5 oz, non-skid base (party pack)</t>
        </is>
      </c>
      <c r="C37" s="3" t="inlineStr">
        <is>
          <t>seasonal-nye</t>
        </is>
      </c>
      <c r="D37" s="3" t="inlineStr">
        <is>
          <t>Pink NYE party table</t>
        </is>
      </c>
      <c r="E37" s="3" t="inlineStr">
        <is>
          <t>NO SIGNAL</t>
        </is>
      </c>
      <c r="F37" s="3" t="inlineStr"/>
      <c r="G37" s="3" t="inlineStr"/>
      <c r="H37" s="3" t="inlineStr"/>
      <c r="I37" s="3" t="inlineStr"/>
      <c r="J37" s="3" t="inlineStr"/>
      <c r="K37" s="3" t="inlineStr">
        <is>
          <t>unknown (Amazon listing seen via Movers &amp; Shakers Home &amp; Kitchen search, no rank or count in snippet)</t>
        </is>
      </c>
      <c r="L37" s="3" t="inlineStr">
        <is>
          <t>unknown</t>
        </is>
      </c>
      <c r="M37" s="3" t="inlineStr">
        <is>
          <t>none</t>
        </is>
      </c>
      <c r="N37" s="3" t="inlineStr">
        <is>
          <t>none</t>
        </is>
      </c>
      <c r="O37" s="3" t="inlineStr">
        <is>
          <t>Disposable-but-pretty flutes for a pink NYE table.</t>
        </is>
      </c>
      <c r="P37" s="3" t="inlineStr">
        <is>
          <t>REJECT</t>
        </is>
      </c>
      <c r="Q37" s="3" t="inlineStr">
        <is>
          <t>No numeric signal found (listings exist, counts not visible in snippets).</t>
        </is>
      </c>
    </row>
    <row r="38">
      <c r="A38" s="3" t="inlineStr">
        <is>
          <t>C037</t>
        </is>
      </c>
      <c r="B38" s="3" t="inlineStr">
        <is>
          <t>Pink bow dog harness, collar and leash set</t>
        </is>
      </c>
      <c r="C38" s="3" t="inlineStr">
        <is>
          <t>dog</t>
        </is>
      </c>
      <c r="D38" s="3" t="inlineStr">
        <is>
          <t>Girly dog accessories</t>
        </is>
      </c>
      <c r="E38" s="3" t="inlineStr">
        <is>
          <t>NO SIGNAL</t>
        </is>
      </c>
      <c r="F38" s="3" t="inlineStr"/>
      <c r="G38" s="3" t="inlineStr"/>
      <c r="H38" s="3" t="inlineStr"/>
      <c r="I38" s="3" t="inlineStr"/>
      <c r="J38" s="3" t="inlineStr"/>
      <c r="K38" s="3" t="inlineStr">
        <is>
          <t>unknown; Amazon references Didog bow harness set B0C3RVZVND and pink bow-tie harness set B0C48YPPD9 (no counts in snippets)</t>
        </is>
      </c>
      <c r="L38" s="3" t="inlineStr">
        <is>
          <t>unknown</t>
        </is>
      </c>
      <c r="M38" s="3" t="inlineStr">
        <is>
          <t>none</t>
        </is>
      </c>
      <c r="N38" s="3" t="inlineStr">
        <is>
          <t>none</t>
        </is>
      </c>
      <c r="O38" s="3" t="inlineStr">
        <is>
          <t>The matching pink harness set is the most-saved dog mom accessory; needs a sales count.</t>
        </is>
      </c>
      <c r="P38" s="3" t="inlineStr">
        <is>
          <t>REJECT</t>
        </is>
      </c>
      <c r="Q38" s="3" t="inlineStr">
        <is>
          <t>No numeric signal found (listings exist, counts not visible in snippets).</t>
        </is>
      </c>
    </row>
    <row r="39">
      <c r="A39" s="3" t="inlineStr">
        <is>
          <t>C038</t>
        </is>
      </c>
      <c r="B39" s="3" t="inlineStr">
        <is>
          <t>Pink poop bag holder (velvet / strawberry / PU leather)</t>
        </is>
      </c>
      <c r="C39" s="3" t="inlineStr">
        <is>
          <t>dog</t>
        </is>
      </c>
      <c r="D39" s="3" t="inlineStr">
        <is>
          <t>Girly dog walk kit</t>
        </is>
      </c>
      <c r="E39" s="3" t="inlineStr">
        <is>
          <t>NO SIGNAL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unknown; Amazon listings B0FPFRCT9R (strawberry pink), B0DRW54512 (pink), ARING PET velvet pink store page, no counts in snippets</t>
        </is>
      </c>
      <c r="L39" s="3" t="inlineStr">
        <is>
          <t>unknown</t>
        </is>
      </c>
      <c r="M39" s="3" t="inlineStr">
        <is>
          <t>none</t>
        </is>
      </c>
      <c r="N39" s="3" t="inlineStr">
        <is>
          <t>none</t>
        </is>
      </c>
      <c r="O39" s="3" t="inlineStr">
        <is>
          <t>Small pink add-on that completes the leash flat lay.</t>
        </is>
      </c>
      <c r="P39" s="3" t="inlineStr">
        <is>
          <t>REJECT</t>
        </is>
      </c>
      <c r="Q39" s="3" t="inlineStr">
        <is>
          <t>No numeric signal found (listings exist, counts not visible in snippets).</t>
        </is>
      </c>
    </row>
    <row r="40">
      <c r="A40" s="3" t="inlineStr">
        <is>
          <t>C039</t>
        </is>
      </c>
      <c r="B40" s="3" t="inlineStr">
        <is>
          <t>Pink pet carrier bag / bubble-window backpack</t>
        </is>
      </c>
      <c r="C40" s="3" t="inlineStr">
        <is>
          <t>dog</t>
        </is>
      </c>
      <c r="D40" s="3" t="inlineStr">
        <is>
          <t>Pink travel set with the dog</t>
        </is>
      </c>
      <c r="E40" s="3" t="inlineStr">
        <is>
          <t>NO SIGNAL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unknown</t>
        </is>
      </c>
      <c r="L40" s="3" t="inlineStr">
        <is>
          <t>unknown</t>
        </is>
      </c>
      <c r="M40" s="3" t="inlineStr">
        <is>
          <t>none</t>
        </is>
      </c>
      <c r="N40" s="3" t="inlineStr">
        <is>
          <t>none</t>
        </is>
      </c>
      <c r="O40" s="3" t="inlineStr">
        <is>
          <t>Pink carrier plus pink luggage is the girls-trip-with-dog pin.</t>
        </is>
      </c>
      <c r="P40" s="3" t="inlineStr">
        <is>
          <t>REJECT</t>
        </is>
      </c>
      <c r="Q40" s="3" t="inlineStr">
        <is>
          <t>No numeric signal found (listings exist, counts not visible in snippets).</t>
        </is>
      </c>
    </row>
    <row r="41">
      <c r="A41" s="3" t="inlineStr">
        <is>
          <t>C040</t>
        </is>
      </c>
      <c r="B41" s="3" t="inlineStr">
        <is>
          <t>Pink insulated wine tumbler 12 oz with lid</t>
        </is>
      </c>
      <c r="C41" s="3" t="inlineStr">
        <is>
          <t>gifting</t>
        </is>
      </c>
      <c r="D41" s="3" t="inlineStr">
        <is>
          <t>Pink gifts for her / wine night</t>
        </is>
      </c>
      <c r="E41" s="3" t="inlineStr">
        <is>
          <t>NO SIGNAL</t>
        </is>
      </c>
      <c r="F41" s="3" t="inlineStr"/>
      <c r="G41" s="3" t="inlineStr"/>
      <c r="H41" s="3" t="inlineStr"/>
      <c r="I41" s="3" t="inlineStr"/>
      <c r="J41" s="3" t="inlineStr"/>
      <c r="K41" s="3" t="inlineStr">
        <is>
          <t>unknown; TikTok Shop keyword pages exist (pink tumbler, reduce wine tumbler set) but no counts seen</t>
        </is>
      </c>
      <c r="L41" s="3" t="inlineStr">
        <is>
          <t>unknown</t>
        </is>
      </c>
      <c r="M41" s="3" t="inlineStr">
        <is>
          <t>none (avoid Stanley/Owala branding)</t>
        </is>
      </c>
      <c r="N41" s="3" t="inlineStr">
        <is>
          <t>none</t>
        </is>
      </c>
      <c r="O41" s="3" t="inlineStr">
        <is>
          <t>Pink stemless tumbler is a staple gift-guide item.</t>
        </is>
      </c>
      <c r="P41" s="3" t="inlineStr">
        <is>
          <t>REJECT</t>
        </is>
      </c>
      <c r="Q41" s="3" t="inlineStr">
        <is>
          <t>No numeric signal found (listings exist, counts not visible in snippets).</t>
        </is>
      </c>
    </row>
    <row r="42">
      <c r="A42" s="3" t="inlineStr">
        <is>
          <t>C041</t>
        </is>
      </c>
      <c r="B42" s="3" t="inlineStr">
        <is>
          <t>Pink robe + slippers + headband spa gift set (no cosmetics)</t>
        </is>
      </c>
      <c r="C42" s="3" t="inlineStr">
        <is>
          <t>gifting</t>
        </is>
      </c>
      <c r="D42" s="3" t="inlineStr">
        <is>
          <t>Pink self-care night in</t>
        </is>
      </c>
      <c r="E42" s="3" t="inlineStr">
        <is>
          <t>NO SIGNAL</t>
        </is>
      </c>
      <c r="F42" s="3" t="inlineStr"/>
      <c r="G42" s="3" t="inlineStr"/>
      <c r="H42" s="3" t="inlineStr"/>
      <c r="I42" s="3" t="inlineStr"/>
      <c r="J42" s="3" t="inlineStr"/>
      <c r="K42" s="3" t="inlineStr">
        <is>
          <t>unknown</t>
        </is>
      </c>
      <c r="L42" s="3" t="inlineStr">
        <is>
          <t>unknown</t>
        </is>
      </c>
      <c r="M42" s="3" t="inlineStr">
        <is>
          <t>none</t>
        </is>
      </c>
      <c r="N42" s="3" t="inlineStr">
        <is>
          <t>none</t>
        </is>
      </c>
      <c r="O42" s="3" t="inlineStr">
        <is>
          <t>Fuzzy slippers were named a viral TikTok gift in 2026 listicles (no number captured); robe bundle is the giftable version.</t>
        </is>
      </c>
      <c r="P42" s="3" t="inlineStr">
        <is>
          <t>REJECT</t>
        </is>
      </c>
      <c r="Q42" s="3" t="inlineStr">
        <is>
          <t>No numeric signal found (listings exist, counts not visible in snippets).</t>
        </is>
      </c>
    </row>
    <row r="43">
      <c r="A43" s="2" t="inlineStr">
        <is>
          <t>C042</t>
        </is>
      </c>
      <c r="B43" s="2" t="inlineStr">
        <is>
          <t>Pink 2027 planner / desk calendar</t>
        </is>
      </c>
      <c r="C43" s="2" t="inlineStr">
        <is>
          <t>gifting</t>
        </is>
      </c>
      <c r="D43" s="2" t="inlineStr">
        <is>
          <t>The Law School Desk Setup, All Pink</t>
        </is>
      </c>
      <c r="E43" s="2" t="inlineStr">
        <is>
          <t>NO SIGNAL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unknown; Etsy pink digital planner 2025-2027 listing 1859177189 exists; TikTok Shop '2027 magnet daily planner' listed as coming soon</t>
        </is>
      </c>
      <c r="L43" s="2" t="inlineStr">
        <is>
          <t>unknown</t>
        </is>
      </c>
      <c r="M43" s="2" t="inlineStr">
        <is>
          <t>none</t>
        </is>
      </c>
      <c r="N43" s="2" t="inlineStr">
        <is>
          <t>none</t>
        </is>
      </c>
      <c r="O43" s="2" t="inlineStr">
        <is>
          <t>New-year planner pins spike in December; pink cover is the desk flat-lay anchor.</t>
        </is>
      </c>
      <c r="P43" s="2" t="inlineStr">
        <is>
          <t>BANK Q16</t>
        </is>
      </c>
      <c r="Q43" s="2" t="inlineStr"/>
    </row>
    <row r="44">
      <c r="A44" s="3" t="inlineStr">
        <is>
          <t>C043</t>
        </is>
      </c>
      <c r="B44" s="3" t="inlineStr">
        <is>
          <t>Pink NYE decor: balloon garland, sequin table runner, disco ball ornaments, pink party hats</t>
        </is>
      </c>
      <c r="C44" s="3" t="inlineStr">
        <is>
          <t>seasonal-nye</t>
        </is>
      </c>
      <c r="D44" s="3" t="inlineStr">
        <is>
          <t>Pink New Year's Eve party decor list</t>
        </is>
      </c>
      <c r="E44" s="3" t="inlineStr">
        <is>
          <t>NO SIGNAL</t>
        </is>
      </c>
      <c r="F44" s="3" t="inlineStr"/>
      <c r="G44" s="3" t="inlineStr"/>
      <c r="H44" s="3" t="inlineStr"/>
      <c r="I44" s="3" t="inlineStr"/>
      <c r="J44" s="3" t="inlineStr"/>
      <c r="K44" s="3" t="inlineStr">
        <is>
          <t>unknown</t>
        </is>
      </c>
      <c r="L44" s="3" t="inlineStr">
        <is>
          <t>unknown</t>
        </is>
      </c>
      <c r="M44" s="3" t="inlineStr">
        <is>
          <t>none (use generic '2027' only)</t>
        </is>
      </c>
      <c r="N44" s="3" t="inlineStr">
        <is>
          <t>none</t>
        </is>
      </c>
      <c r="O44" s="3" t="inlineStr">
        <is>
          <t>Trade press says pink is a standout holiday 2026 colour story (Home Accents Today, Gift Shop Magazine) but no number was captured.</t>
        </is>
      </c>
      <c r="P44" s="3" t="inlineStr">
        <is>
          <t>REJECT</t>
        </is>
      </c>
      <c r="Q44" s="3" t="inlineStr">
        <is>
          <t>No numeric signal found (listings exist, counts not visible in snippets).</t>
        </is>
      </c>
    </row>
    <row r="45">
      <c r="A45" s="3" t="inlineStr">
        <is>
          <t>C044</t>
        </is>
      </c>
      <c r="B45" s="3" t="inlineStr">
        <is>
          <t>Pink satin pajama set</t>
        </is>
      </c>
      <c r="C45" s="3" t="inlineStr">
        <is>
          <t>seasonal-valentines</t>
        </is>
      </c>
      <c r="D45" s="3" t="inlineStr">
        <is>
          <t>Galentine's sleepover / Valentine's morning</t>
        </is>
      </c>
      <c r="E45" s="3" t="inlineStr">
        <is>
          <t>NO SIGNAL</t>
        </is>
      </c>
      <c r="F45" s="3" t="inlineStr"/>
      <c r="G45" s="3" t="inlineStr"/>
      <c r="H45" s="3" t="inlineStr"/>
      <c r="I45" s="3" t="inlineStr"/>
      <c r="J45" s="3" t="inlineStr"/>
      <c r="K45" s="3" t="inlineStr">
        <is>
          <t>unknown</t>
        </is>
      </c>
      <c r="L45" s="3" t="inlineStr">
        <is>
          <t>unknown</t>
        </is>
      </c>
      <c r="M45" s="3" t="inlineStr">
        <is>
          <t>none</t>
        </is>
      </c>
      <c r="N45" s="3" t="inlineStr">
        <is>
          <t>none</t>
        </is>
      </c>
      <c r="O45" s="3" t="inlineStr">
        <is>
          <t>Matching satin PJs are the Galentine's photo uniform.</t>
        </is>
      </c>
      <c r="P45" s="3" t="inlineStr">
        <is>
          <t>REJECT</t>
        </is>
      </c>
      <c r="Q45" s="3" t="inlineStr">
        <is>
          <t>Sized apparel: returns run well above the 8% allowance and Tommy Kate cannot wear blazers; kept for the Amazon pipeline, not the store.</t>
        </is>
      </c>
    </row>
    <row r="46">
      <c r="A46" s="3" t="inlineStr">
        <is>
          <t>C045</t>
        </is>
      </c>
      <c r="B46" s="3" t="inlineStr">
        <is>
          <t>Pink luggage tag + passport holder set</t>
        </is>
      </c>
      <c r="C46" s="3" t="inlineStr">
        <is>
          <t>gifting</t>
        </is>
      </c>
      <c r="D46" s="3" t="inlineStr">
        <is>
          <t>Pink travel set</t>
        </is>
      </c>
      <c r="E46" s="3" t="inlineStr">
        <is>
          <t>NO SIGNAL</t>
        </is>
      </c>
      <c r="F46" s="3" t="inlineStr"/>
      <c r="G46" s="3" t="inlineStr"/>
      <c r="H46" s="3" t="inlineStr"/>
      <c r="I46" s="3" t="inlineStr"/>
      <c r="J46" s="3" t="inlineStr"/>
      <c r="K46" s="3" t="inlineStr">
        <is>
          <t>unknown; branded reference (BEIS) exists at ~premium price, not for sourcing</t>
        </is>
      </c>
      <c r="L46" s="3" t="inlineStr">
        <is>
          <t>unknown</t>
        </is>
      </c>
      <c r="M46" s="3" t="inlineStr">
        <is>
          <t>note: do not copy BEIS trade dress</t>
        </is>
      </c>
      <c r="N46" s="3" t="inlineStr">
        <is>
          <t>none</t>
        </is>
      </c>
      <c r="O46" s="3" t="inlineStr">
        <is>
          <t>Completes the pink packing-cube flat lay.</t>
        </is>
      </c>
      <c r="P46" s="3" t="inlineStr">
        <is>
          <t>REJECT</t>
        </is>
      </c>
      <c r="Q46" s="3" t="inlineStr">
        <is>
          <t>No numeric signal found (listings exist, counts not visible in snippets).</t>
        </is>
      </c>
    </row>
    <row r="47">
      <c r="A47" s="3" t="inlineStr">
        <is>
          <t>C046</t>
        </is>
      </c>
      <c r="B47" s="3" t="inlineStr">
        <is>
          <t>Pink stationery gift set, pink 1000-piece puzzle / game-night set, dog mom gift box</t>
        </is>
      </c>
      <c r="C47" s="3" t="inlineStr">
        <is>
          <t>gifting</t>
        </is>
      </c>
      <c r="D47" s="3" t="inlineStr">
        <is>
          <t>Pink gifts for her / dog mom gifts</t>
        </is>
      </c>
      <c r="E47" s="3" t="inlineStr">
        <is>
          <t>NO SIGNAL</t>
        </is>
      </c>
      <c r="F47" s="3" t="inlineStr"/>
      <c r="G47" s="3" t="inlineStr"/>
      <c r="H47" s="3" t="inlineStr"/>
      <c r="I47" s="3" t="inlineStr"/>
      <c r="J47" s="3" t="inlineStr"/>
      <c r="K47" s="3" t="inlineStr">
        <is>
          <t>unknown</t>
        </is>
      </c>
      <c r="L47" s="3" t="inlineStr">
        <is>
          <t>unknown</t>
        </is>
      </c>
      <c r="M47" s="3" t="inlineStr">
        <is>
          <t>none</t>
        </is>
      </c>
      <c r="N47" s="3" t="inlineStr">
        <is>
          <t>none</t>
        </is>
      </c>
      <c r="O47" s="3" t="inlineStr">
        <is>
          <t>Not searched: WebSearch budget was exhausted before these subcategories were reached.</t>
        </is>
      </c>
      <c r="P47" s="3" t="inlineStr">
        <is>
          <t>REJECT</t>
        </is>
      </c>
      <c r="Q47" s="3" t="inlineStr">
        <is>
          <t>No numeric signal found before the search budget ran out (no signal, no product).</t>
        </is>
      </c>
    </row>
    <row r="48">
      <c r="A48" s="2" t="inlineStr">
        <is>
          <t>C047</t>
        </is>
      </c>
      <c r="B48" s="2" t="inlineStr">
        <is>
          <t>Fluffy / plush pink steering wheel cover (universal 15in)</t>
        </is>
      </c>
      <c r="C48" s="2" t="inlineStr">
        <is>
          <t>car</t>
        </is>
      </c>
      <c r="D48" s="2" t="inlineStr">
        <is>
          <t>Pink Home, Dorm and Car Finds - the pink car interior</t>
        </is>
      </c>
      <c r="E48" s="2" t="inlineStr">
        <is>
          <t>keyword page 'fluffy pink steering wheel cover': 57.0K total sold across verified shops; top listing 236 sold, limited-time-deal listing 6.6K sold</t>
        </is>
      </c>
      <c r="F48" s="2" t="inlineStr">
        <is>
          <t>TikTok Shop</t>
        </is>
      </c>
      <c r="G48" s="2" t="inlineStr">
        <is>
          <t>https://shop.tiktok.com/us/k/fluffy-pink-steering-wheel-cover</t>
        </is>
      </c>
      <c r="H48" s="2" t="inlineStr">
        <is>
          <t>live page, seen 2026-09-27</t>
        </is>
      </c>
      <c r="I48" s="2" t="inlineStr">
        <is>
          <t>seen in search snippet (aggregate keyword-page figure, per-listing split not fully visible)</t>
        </is>
      </c>
      <c r="J48" s="2" t="inlineStr">
        <is>
          <t>TikTok Shop: keyword page 'steering wheel cover pink': 58.0K total sold from verified shops (19.2K followers) (https://shop.tiktok.com/us/k/steering-wheel-cover-pink) | TikTok Shop: keyword page 'fuzzy steering wheel cover pink': 236 sold, discounted (https://shop.tiktok.com/us/k/fuzzy-steering-wheel-cover-pink)</t>
        </is>
      </c>
      <c r="K48" s="2" t="inlineStr">
        <is>
          <t>unknown exact; TikTok Shop listings shown as discounted deals (price not visible in snippet)</t>
        </is>
      </c>
      <c r="L48" s="2" t="inlineStr">
        <is>
          <t>unknown (AliExpress listings exist but price not in snippet)</t>
        </is>
      </c>
      <c r="M48" s="2" t="inlineStr">
        <is>
          <t>none if plain/fluffy; avoid Kuromi/Hello Kitty/Barbie variants that dominate the AliExpress wiki pages</t>
        </is>
      </c>
      <c r="N48" s="2" t="inlineStr">
        <is>
          <t>none (avoid the 'LED steering cover' variant)</t>
        </is>
      </c>
      <c r="O48" s="2" t="inlineStr">
        <is>
          <t>The single most saved 'pink car' item: instant pink-car transformation for under $20, photographs perfectly from the driver seat.</t>
        </is>
      </c>
      <c r="P48" s="2" t="inlineStr">
        <is>
          <t>BANK E08</t>
        </is>
      </c>
      <c r="Q48" s="2" t="inlineStr"/>
    </row>
    <row r="49">
      <c r="A49" s="3" t="inlineStr">
        <is>
          <t>C048</t>
        </is>
      </c>
      <c r="B49" s="3" t="inlineStr">
        <is>
          <t>Pink cow-print steering wheel cover</t>
        </is>
      </c>
      <c r="C49" s="3" t="inlineStr">
        <is>
          <t>car</t>
        </is>
      </c>
      <c r="D49" s="3" t="inlineStr">
        <is>
          <t>Pink Home, Dorm and Car Finds - pink car interior (western-girly variant)</t>
        </is>
      </c>
      <c r="E49" s="3" t="inlineStr">
        <is>
          <t>keyword page 'pink cow print steering wheel cover': 251 sold</t>
        </is>
      </c>
      <c r="F49" s="3" t="inlineStr">
        <is>
          <t>TikTok Shop</t>
        </is>
      </c>
      <c r="G49" s="3" t="inlineStr">
        <is>
          <t>https://shop.tiktok.com/us/k/pink-cow-print-steering-wheel-cover</t>
        </is>
      </c>
      <c r="H49" s="3" t="inlineStr">
        <is>
          <t>live page, seen 2026-09-27</t>
        </is>
      </c>
      <c r="I49" s="3" t="inlineStr">
        <is>
          <t>seen in search snippet</t>
        </is>
      </c>
      <c r="J49" s="3" t="inlineStr"/>
      <c r="K49" s="3" t="inlineStr">
        <is>
          <t>unknown</t>
        </is>
      </c>
      <c r="L49" s="3" t="inlineStr">
        <is>
          <t>unknown</t>
        </is>
      </c>
      <c r="M49" s="3" t="inlineStr">
        <is>
          <t>none (generic print)</t>
        </is>
      </c>
      <c r="N49" s="3" t="inlineStr">
        <is>
          <t>none</t>
        </is>
      </c>
      <c r="O49" s="3" t="inlineStr">
        <is>
          <t>Pattern variant of the winning product; pins into 'pink western' and 'coquette cowgirl' boards.</t>
        </is>
      </c>
      <c r="P49" s="3" t="inlineStr">
        <is>
          <t>REJECT</t>
        </is>
      </c>
      <c r="Q49" s="3" t="inlineStr">
        <is>
          <t>Numeric signal exists but weaker than the 40 kept, or it duplicates a kept product in the same look.</t>
        </is>
      </c>
    </row>
    <row r="50">
      <c r="A50" s="3" t="inlineStr">
        <is>
          <t>C049</t>
        </is>
      </c>
      <c r="B50" s="3" t="inlineStr">
        <is>
          <t>Pink PU-leather full-set car seat covers (5 or 7 seat, airbag compatible)</t>
        </is>
      </c>
      <c r="C50" s="3" t="inlineStr">
        <is>
          <t>car</t>
        </is>
      </c>
      <c r="D50" s="3" t="inlineStr">
        <is>
          <t>Pink Home, Dorm and Car Finds - full pink car interior makeover</t>
        </is>
      </c>
      <c r="E50" s="3" t="inlineStr">
        <is>
          <t>7-seater pink PU leather seat cover set: 35 sold, $51.14 (45% off $93.00), free shipping</t>
        </is>
      </c>
      <c r="F50" s="3" t="inlineStr">
        <is>
          <t>TikTok Shop</t>
        </is>
      </c>
      <c r="G50" s="3" t="inlineStr">
        <is>
          <t>https://shop.tiktok.com/us/pdp/autoyouth-7-seat-pink-pu-leather-car-seat-covers-universal-fit/1729495851509257503</t>
        </is>
      </c>
      <c r="H50" s="3" t="inlineStr">
        <is>
          <t>live page, seen 2026-09-27</t>
        </is>
      </c>
      <c r="I50" s="3" t="inlineStr">
        <is>
          <t>seen in search snippet</t>
        </is>
      </c>
      <c r="J50" s="3" t="inlineStr"/>
      <c r="K50" s="3" t="inlineStr">
        <is>
          <t>$51-$93 on TikTok Shop (7-seat set); 5-seat pink PU set also listed https://shop.tiktok.com/us/pdp/car-seat-covers-waterproof-pu-leather-for-women-pink-universal-fit/1729616282892341296</t>
        </is>
      </c>
      <c r="L50" s="3" t="inlineStr">
        <is>
          <t>unknown</t>
        </is>
      </c>
      <c r="M50" s="3" t="inlineStr">
        <is>
          <t>none for generic; do not use seller brand names</t>
        </is>
      </c>
      <c r="N50" s="3" t="inlineStr">
        <is>
          <t>none</t>
        </is>
      </c>
      <c r="O50" s="3" t="inlineStr">
        <is>
          <t>High-ticket, high-visual 'before/after' pink car pin; buyer is a woman upgrading a used car interior.</t>
        </is>
      </c>
      <c r="P50" s="3" t="inlineStr">
        <is>
          <t>REJECT</t>
        </is>
      </c>
      <c r="Q50" s="3" t="inlineStr">
        <is>
          <t>Bulky or heavy: inbound shipping pushes the price out of the Pink Finds band.</t>
        </is>
      </c>
    </row>
    <row r="51">
      <c r="A51" s="3" t="inlineStr">
        <is>
          <t>C050</t>
        </is>
      </c>
      <c r="B51" s="3" t="inlineStr">
        <is>
          <t>Bling rhinestone pink car seat covers (full set)</t>
        </is>
      </c>
      <c r="C51" s="3" t="inlineStr">
        <is>
          <t>car</t>
        </is>
      </c>
      <c r="D51" s="3" t="inlineStr">
        <is>
          <t>Pink Home, Dorm and Car Finds - glam / bling pink car</t>
        </is>
      </c>
      <c r="E51" s="3" t="inlineStr">
        <is>
          <t>keyword page 'car accessories pink and fluffy': 79 sold (top listing) - related bling searches</t>
        </is>
      </c>
      <c r="F51" s="3" t="inlineStr">
        <is>
          <t>TikTok Shop</t>
        </is>
      </c>
      <c r="G51" s="3" t="inlineStr">
        <is>
          <t>https://shop.tiktok.com/us/k/car-accessories-pink-and-fluffy</t>
        </is>
      </c>
      <c r="H51" s="3" t="inlineStr">
        <is>
          <t>live page, seen 2026-09-27</t>
        </is>
      </c>
      <c r="I51" s="3" t="inlineStr">
        <is>
          <t>seen in search snippet (keyword-page top listing, not the exact seat cover)</t>
        </is>
      </c>
      <c r="J51" s="3" t="inlineStr"/>
      <c r="K51" s="3" t="inlineStr">
        <is>
          <t>unknown (listing https://shop.tiktok.com/us/pdp/car-seat-covers-by-car-pass-pink-rhinestone-faux-leather-universal-fit/1729487132212695548)</t>
        </is>
      </c>
      <c r="L51" s="3" t="inlineStr">
        <is>
          <t>unknown</t>
        </is>
      </c>
      <c r="M51" s="3" t="inlineStr">
        <is>
          <t>none</t>
        </is>
      </c>
      <c r="N51" s="3" t="inlineStr">
        <is>
          <t>none</t>
        </is>
      </c>
      <c r="O51" s="3" t="inlineStr">
        <is>
          <t>Sparkle reads on camera; pairs with the bling coasters and steering cover for a 'set' pin.</t>
        </is>
      </c>
      <c r="P51" s="3" t="inlineStr">
        <is>
          <t>REJECT</t>
        </is>
      </c>
      <c r="Q51" s="3" t="inlineStr">
        <is>
          <t>Bulky or heavy: inbound shipping pushes the price out of the Pink Finds band.</t>
        </is>
      </c>
    </row>
    <row r="52">
      <c r="A52" s="3" t="inlineStr">
        <is>
          <t>C051</t>
        </is>
      </c>
      <c r="B52" s="3" t="inlineStr">
        <is>
          <t>43-piece fuzzy pink car interior set (seat covers + steering + belt + handbrake covers)</t>
        </is>
      </c>
      <c r="C52" s="3" t="inlineStr">
        <is>
          <t>car</t>
        </is>
      </c>
      <c r="D52" s="3" t="inlineStr">
        <is>
          <t>Pink Home, Dorm and Car Finds - one-click pink car interior bundle</t>
        </is>
      </c>
      <c r="E52" s="3" t="inlineStr">
        <is>
          <t>43 pcs fuzzy pink set listed at $69.13 (33% off $103.18), seller AutoChic Interior, free shipping (sold count not visible in snippet)</t>
        </is>
      </c>
      <c r="F52" s="3" t="inlineStr">
        <is>
          <t>TikTok Shop</t>
        </is>
      </c>
      <c r="G52" s="3" t="inlineStr">
        <is>
          <t>https://shop.tiktok.com/us/pdp/43-pcs-fuzzy-car-seat-cover-set-for-women-pink-accessories-full-coverage/1732263138563953554</t>
        </is>
      </c>
      <c r="H52" s="3" t="inlineStr">
        <is>
          <t>live page, seen 2026-09-27</t>
        </is>
      </c>
      <c r="I52" s="3" t="inlineStr">
        <is>
          <t>price seen in snippet; unverified: sold count not shown</t>
        </is>
      </c>
      <c r="J52" s="3" t="inlineStr"/>
      <c r="K52" s="3" t="inlineStr">
        <is>
          <t>$69.13 (TikTok Shop, discounted from $103.18)</t>
        </is>
      </c>
      <c r="L52" s="3" t="inlineStr">
        <is>
          <t>unknown</t>
        </is>
      </c>
      <c r="M52" s="3" t="inlineStr">
        <is>
          <t>none</t>
        </is>
      </c>
      <c r="N52" s="3" t="inlineStr">
        <is>
          <t>none</t>
        </is>
      </c>
      <c r="O52" s="3" t="inlineStr">
        <is>
          <t>Bundle = one pin, one purchase; 'everything you need for a pink car' listicle format.</t>
        </is>
      </c>
      <c r="P52" s="3" t="inlineStr">
        <is>
          <t>REJECT</t>
        </is>
      </c>
      <c r="Q52" s="3" t="inlineStr">
        <is>
          <t>Bulky or heavy: inbound shipping pushes the price out of the Pink Finds band.</t>
        </is>
      </c>
    </row>
    <row r="53">
      <c r="A53" s="2" t="inlineStr">
        <is>
          <t>C052</t>
        </is>
      </c>
      <c r="B53" s="2" t="inlineStr">
        <is>
          <t>Pink vacuum / magnetic suction car phone holder (no electronics)</t>
        </is>
      </c>
      <c r="C53" s="2" t="inlineStr">
        <is>
          <t>car</t>
        </is>
      </c>
      <c r="D53" s="2" t="inlineStr">
        <is>
          <t>Pink Home, Dorm and Car Finds - pink dashboard essentials</t>
        </is>
      </c>
      <c r="E53" s="2" t="inlineStr">
        <is>
          <t>vacuum magnetic suction phone holder, pink option: 27 sold, $10.99, seller AKnmenm</t>
        </is>
      </c>
      <c r="F53" s="2" t="inlineStr">
        <is>
          <t>TikTok Shop</t>
        </is>
      </c>
      <c r="G53" s="2" t="inlineStr">
        <is>
          <t>https://shop.tiktok.com/us/pdp/vacuum-magnetic-suction-phone-holder-upgraded-stability-dual-sided-magnetic-hands-free-convenience/1732202859492512145</t>
        </is>
      </c>
      <c r="H53" s="2" t="inlineStr">
        <is>
          <t>live page, seen 2026-09-27</t>
        </is>
      </c>
      <c r="I53" s="2" t="inlineStr">
        <is>
          <t>seen in search snippet</t>
        </is>
      </c>
      <c r="J53" s="2" t="inlineStr"/>
      <c r="K53" s="2" t="inlineStr">
        <is>
          <t>$10.99 (TikTok Shop)</t>
        </is>
      </c>
      <c r="L53" s="2" t="inlineStr">
        <is>
          <t>unknown</t>
        </is>
      </c>
      <c r="M53" s="2" t="inlineStr">
        <is>
          <t>none</t>
        </is>
      </c>
      <c r="N53" s="2" t="inlineStr">
        <is>
          <t>none (passive suction/magnet; avoid the 'flowing sand aromatherapy' version which showed 0 sold / out of stock)</t>
        </is>
      </c>
      <c r="O53" s="2" t="inlineStr">
        <is>
          <t>Functional pink dashboard piece; fits the 'pink car essentials' checklist pin.</t>
        </is>
      </c>
      <c r="P53" s="2" t="inlineStr">
        <is>
          <t>BANK E12</t>
        </is>
      </c>
      <c r="Q53" s="2" t="inlineStr"/>
    </row>
    <row r="54">
      <c r="A54" s="3" t="inlineStr">
        <is>
          <t>C053</t>
        </is>
      </c>
      <c r="B54" s="3" t="inlineStr">
        <is>
          <t>Pink floral quilted car storage basket / back-seat organizer</t>
        </is>
      </c>
      <c r="C54" s="3" t="inlineStr">
        <is>
          <t>car</t>
        </is>
      </c>
      <c r="D54" s="3" t="inlineStr">
        <is>
          <t>Pink Home, Dorm and Car Finds - pink car organisation</t>
        </is>
      </c>
      <c r="E54" s="3" t="inlineStr">
        <is>
          <t>car storage basket organizer (pink option): 2 sold, $23.86, seller StarHHK Daily</t>
        </is>
      </c>
      <c r="F54" s="3" t="inlineStr">
        <is>
          <t>TikTok Shop</t>
        </is>
      </c>
      <c r="G54" s="3" t="inlineStr">
        <is>
          <t>https://shop.tiktok.com/us/pdp/car-storage-basket-organizer-multifunctional-durable/1731987134742434516</t>
        </is>
      </c>
      <c r="H54" s="3" t="inlineStr">
        <is>
          <t>live page, seen 2026-09-27</t>
        </is>
      </c>
      <c r="I54" s="3" t="inlineStr">
        <is>
          <t>seen in search snippet (weak: 2 sold)</t>
        </is>
      </c>
      <c r="J54" s="3" t="inlineStr">
        <is>
          <t>TikTok Shop: floral quilted foldable basket (car trunk / laundry, pink option): 20.0K sold, 54% off (https://shop.tiktok.com/us/pdp/floral-pattern-foldable-laundry-basket-large-capacity-organizer-ideal-for-living-room-bedroom-bathro/1731421365291684567)</t>
        </is>
      </c>
      <c r="K54" s="3" t="inlineStr">
        <is>
          <t>$23.86 (TikTok Shop)</t>
        </is>
      </c>
      <c r="L54" s="3" t="inlineStr">
        <is>
          <t>AliExpress pink car trunk organizer $21.08 (20 sold) https://www.aliexpress.com/i/3256810032994368.html</t>
        </is>
      </c>
      <c r="M54" s="3" t="inlineStr">
        <is>
          <t>none</t>
        </is>
      </c>
      <c r="N54" s="3" t="inlineStr">
        <is>
          <t>none</t>
        </is>
      </c>
      <c r="O54" s="3" t="inlineStr">
        <is>
          <t>Same quilted-floral basket sells 20K as a laundry basket; the car-use pin is the same product photographed on a back seat.</t>
        </is>
      </c>
      <c r="P54" s="3" t="inlineStr">
        <is>
          <t>REJECT</t>
        </is>
      </c>
      <c r="Q54" s="3" t="inlineStr">
        <is>
          <t>Numeric signal exists but weaker than the 40 kept, or it duplicates a kept product in the same look.</t>
        </is>
      </c>
    </row>
    <row r="55">
      <c r="A55" s="3" t="inlineStr">
        <is>
          <t>C054</t>
        </is>
      </c>
      <c r="B55" s="3" t="inlineStr">
        <is>
          <t>Pink car floor mats (polka-dot bow print or bling leather 4-5 pc set)</t>
        </is>
      </c>
      <c r="C55" s="3" t="inlineStr">
        <is>
          <t>car</t>
        </is>
      </c>
      <c r="D55" s="3" t="inlineStr">
        <is>
          <t>Pink Home, Dorm and Car Finds - pink car interior</t>
        </is>
      </c>
      <c r="E55" s="3" t="inlineStr">
        <is>
          <t>4pcs polka-dot bow car floor mats: 7 sold</t>
        </is>
      </c>
      <c r="F55" s="3" t="inlineStr">
        <is>
          <t>TikTok Shop</t>
        </is>
      </c>
      <c r="G55" s="3" t="inlineStr">
        <is>
          <t>https://shop.tiktok.com/us/pdp/4pcs-car-floor-mats-set-durable-all-weather-design-polka-dot-style-easy-to-clean-for-sedans-and-suvs/1729495989295027308</t>
        </is>
      </c>
      <c r="H55" s="3" t="inlineStr">
        <is>
          <t>live page, seen 2026-09-27</t>
        </is>
      </c>
      <c r="I55" s="3" t="inlineStr">
        <is>
          <t>seen in search snippet (weak: 7 sold)</t>
        </is>
      </c>
      <c r="J55" s="3" t="inlineStr"/>
      <c r="K55" s="3" t="inlineStr">
        <is>
          <t>unknown; pink bling leather mat set listed https://shop.tiktok.com/us/pdp/pink-bling-diamond-car-mats-set-waterproof-leather-anti-slip/1731263851229385378</t>
        </is>
      </c>
      <c r="L55" s="3" t="inlineStr">
        <is>
          <t>unknown</t>
        </is>
      </c>
      <c r="M55" s="3" t="inlineStr">
        <is>
          <t>none (avoid 'pink weathertech' keyword - trademark)</t>
        </is>
      </c>
      <c r="N55" s="3" t="inlineStr">
        <is>
          <t>none</t>
        </is>
      </c>
      <c r="O55" s="3" t="inlineStr">
        <is>
          <t>Completes the floor-to-wheel pink car set; bow print ties to the bow trend.</t>
        </is>
      </c>
      <c r="P55" s="3" t="inlineStr">
        <is>
          <t>REJECT</t>
        </is>
      </c>
      <c r="Q55" s="3" t="inlineStr">
        <is>
          <t>Numeric signal exists but weaker than the 40 kept, or it duplicates a kept product in the same look.</t>
        </is>
      </c>
    </row>
    <row r="56">
      <c r="A56" s="3" t="inlineStr">
        <is>
          <t>C055</t>
        </is>
      </c>
      <c r="B56" s="3" t="inlineStr">
        <is>
          <t>Pink snow brush + ice scraper (car winter kit)</t>
        </is>
      </c>
      <c r="C56" s="3" t="inlineStr">
        <is>
          <t>car</t>
        </is>
      </c>
      <c r="D56" s="3" t="inlineStr">
        <is>
          <t>Pink Home, Dorm and Car Finds - pink car winter / emergency kit (Q4 seasonal)</t>
        </is>
      </c>
      <c r="E56" s="3" t="inlineStr">
        <is>
          <t>Autovir 27in snow brush &amp; ice scraper 3-pack (pink option) appears on Movers &amp; Shakers Automotive (rank and % gain not visible in snippet)</t>
        </is>
      </c>
      <c r="F56" s="3" t="inlineStr">
        <is>
          <t>Amazon Movers &amp; Shakers</t>
        </is>
      </c>
      <c r="G56" s="3" t="inlineStr">
        <is>
          <t>https://www.amazon.com/gp/movers-and-shakers/automotive</t>
        </is>
      </c>
      <c r="H56" s="3" t="inlineStr">
        <is>
          <t>live page, seen 2026-09-27</t>
        </is>
      </c>
      <c r="I56" s="3" t="inlineStr">
        <is>
          <t>unverified: rank/percentage not shown in snippet; presence on the list only</t>
        </is>
      </c>
      <c r="J56" s="3" t="inlineStr"/>
      <c r="K56" s="3" t="inlineStr">
        <is>
          <t>unknown; Walmart carries 'Mallory 994 Pink Ice Scraper 10in' https://www.walmart.com/ip/32593761</t>
        </is>
      </c>
      <c r="L56" s="3" t="inlineStr">
        <is>
          <t>unknown</t>
        </is>
      </c>
      <c r="M56" s="3" t="inlineStr">
        <is>
          <t>none if unbranded</t>
        </is>
      </c>
      <c r="N56" s="3" t="inlineStr">
        <is>
          <t>none</t>
        </is>
      </c>
      <c r="O56" s="3" t="inlineStr">
        <is>
          <t>Seasonal Oct-Jan pin: 'pink car winter essentials' checklist; low price, giftable.</t>
        </is>
      </c>
      <c r="P56" s="3" t="inlineStr">
        <is>
          <t>REJECT</t>
        </is>
      </c>
      <c r="Q56" s="3" t="inlineStr">
        <is>
          <t>Numeric signal exists but weaker than the 40 kept, or it duplicates a kept product in the same look.</t>
        </is>
      </c>
    </row>
    <row r="57">
      <c r="A57" s="3" t="inlineStr">
        <is>
          <t>C056</t>
        </is>
      </c>
      <c r="B57" s="3" t="inlineStr">
        <is>
          <t>Wavy / wave-shaped wall mirror (no lights)</t>
        </is>
      </c>
      <c r="C57" s="3" t="inlineStr">
        <is>
          <t>home-cozy</t>
        </is>
      </c>
      <c r="D57" s="3" t="inlineStr">
        <is>
          <t>Pink Home, Dorm and Car Finds - pink dorm / bedroom wall</t>
        </is>
      </c>
      <c r="E57" s="3" t="inlineStr">
        <is>
          <t>keyword page 'shop wavy mirror': top listing 964 sold, $33.77 limited-time deal</t>
        </is>
      </c>
      <c r="F57" s="3" t="inlineStr">
        <is>
          <t>TikTok Shop</t>
        </is>
      </c>
      <c r="G57" s="3" t="inlineStr">
        <is>
          <t>https://shop.tiktok.com/us/k/shop-wavy-mirror</t>
        </is>
      </c>
      <c r="H57" s="3" t="inlineStr">
        <is>
          <t>live page, seen 2026-09-27</t>
        </is>
      </c>
      <c r="I57" s="3" t="inlineStr">
        <is>
          <t>seen in search snippet</t>
        </is>
      </c>
      <c r="J57" s="3" t="inlineStr">
        <is>
          <t>TikTok Shop: keyword page 'wave mirrors': listing 367 sold, $21.39 (https://shop.tiktok.com/us/k/wave-mirrors) | other: The Range 'Top Trending Mirrors for 2026' lists wavy designs among trending shapes (no number) (https://www.therange.co.uk/blog/home-soft-furnishings/top-trending-mirrors/)</t>
        </is>
      </c>
      <c r="K57" s="3" t="inlineStr">
        <is>
          <t>$21-$34 on TikTok Shop (small/desk sizes); pink wavy desk mirror 6.69in listed https://shop.tiktok.com/us/pdp/wavy-design-compact-pink-color-portable-folding-desk-mirror/1731831737431134300</t>
        </is>
      </c>
      <c r="L57" s="3" t="inlineStr">
        <is>
          <t>unknown</t>
        </is>
      </c>
      <c r="M57" s="3" t="inlineStr">
        <is>
          <t>none</t>
        </is>
      </c>
      <c r="N57" s="3" t="inlineStr">
        <is>
          <t>none (exclude the 'wavy light-up mirror' variant, 254 sold, which has LEDs)</t>
        </is>
      </c>
      <c r="O57" s="3" t="inlineStr">
        <is>
          <t>The signature shape of the pink dorm/bedroom aesthetic; a pink-framed wavy mirror is a top-of-board image.</t>
        </is>
      </c>
      <c r="P57" s="3" t="inlineStr">
        <is>
          <t>REJECT</t>
        </is>
      </c>
      <c r="Q57" s="3" t="inlineStr">
        <is>
          <t>Bulky or heavy: inbound shipping pushes the price out of the Pink Finds band.</t>
        </is>
      </c>
    </row>
    <row r="58">
      <c r="A58" s="3" t="inlineStr">
        <is>
          <t>C057</t>
        </is>
      </c>
      <c r="B58" s="3" t="inlineStr">
        <is>
          <t>Pink laundry basket / hamper (large woven or on wheels)</t>
        </is>
      </c>
      <c r="C58" s="3" t="inlineStr">
        <is>
          <t>home-cozy</t>
        </is>
      </c>
      <c r="D58" s="3" t="inlineStr">
        <is>
          <t>Pink Home, Dorm and Car Finds - pink dorm laundry corner</t>
        </is>
      </c>
      <c r="E58" s="3" t="inlineStr">
        <is>
          <t>keyword page 'target pink basket large': 137 sold, $22.40 (34% off $34.00)</t>
        </is>
      </c>
      <c r="F58" s="3" t="inlineStr">
        <is>
          <t>TikTok Shop</t>
        </is>
      </c>
      <c r="G58" s="3" t="inlineStr">
        <is>
          <t>https://shop.tiktok.com/us/k/target-pink-basket-large</t>
        </is>
      </c>
      <c r="H58" s="3" t="inlineStr">
        <is>
          <t>live page, seen 2026-09-27</t>
        </is>
      </c>
      <c r="I58" s="3" t="inlineStr">
        <is>
          <t>seen in search snippet</t>
        </is>
      </c>
      <c r="J58" s="3" t="inlineStr">
        <is>
          <t>TikTok Shop: keyword page 'pink laundry hamper with wheels': 20 sold, $31.13 (35% off $47.89) (https://shop.tiktok.com/us/k/pink-laundry-hamper-with-wheels) | TikTok Shop: floral quilted foldable laundry basket (pink option): 20.0K sold, 54% off (https://shop.tiktok.com/us/pdp/floral-pattern-foldable-laundry-basket-large-capacity-organizer-ideal-for-living-room-bedroom-bathro/1731421365291684567)</t>
        </is>
      </c>
      <c r="K58" s="3" t="inlineStr">
        <is>
          <t>$22-$31 (TikTok Shop)</t>
        </is>
      </c>
      <c r="L58" s="3" t="inlineStr">
        <is>
          <t>unknown</t>
        </is>
      </c>
      <c r="M58" s="3" t="inlineStr">
        <is>
          <t>none (do not use 'Target' in copy; the keyword is a shopper search term)</t>
        </is>
      </c>
      <c r="N58" s="3" t="inlineStr">
        <is>
          <t>none</t>
        </is>
      </c>
      <c r="O58" s="3" t="inlineStr">
        <is>
          <t>Dorm-and-apartment staple; a 20K-sold quilted floral basket proves demand for soft pink storage.</t>
        </is>
      </c>
      <c r="P58" s="3" t="inlineStr">
        <is>
          <t>REJECT</t>
        </is>
      </c>
      <c r="Q58" s="3" t="inlineStr">
        <is>
          <t>Bulky or heavy: inbound shipping pushes the price out of the Pink Finds band.</t>
        </is>
      </c>
    </row>
    <row r="59">
      <c r="A59" s="3" t="inlineStr">
        <is>
          <t>C058</t>
        </is>
      </c>
      <c r="B59" s="3" t="inlineStr">
        <is>
          <t>Coffee syrup pump dispensers (pink, fits 750ml bottles)</t>
        </is>
      </c>
      <c r="C59" s="3" t="inlineStr">
        <is>
          <t>home-cozy</t>
        </is>
      </c>
      <c r="D59" s="3" t="inlineStr">
        <is>
          <t>Pink Home, Dorm and Car Finds - the pink coffee bar</t>
        </is>
      </c>
      <c r="E59" s="3" t="inlineStr">
        <is>
          <t>4-pack coffee syrup pump dispenser (fits 25.4oz/750ml bottles): 775 sold, $6.99, 4.6 rating</t>
        </is>
      </c>
      <c r="F59" s="3" t="inlineStr">
        <is>
          <t>TikTok Shop</t>
        </is>
      </c>
      <c r="G59" s="3" t="inlineStr">
        <is>
          <t>https://shop.tiktok.com/us/pdp/coffee-syrup-pump-dispenser-by-syruvia-for-25-4-oz-bottles-4-pack/1730656466901963654</t>
        </is>
      </c>
      <c r="H59" s="3" t="inlineStr">
        <is>
          <t>live page, seen 2026-09-27</t>
        </is>
      </c>
      <c r="I59" s="3" t="inlineStr">
        <is>
          <t>seen in search snippet</t>
        </is>
      </c>
      <c r="J59" s="3" t="inlineStr">
        <is>
          <t>TikTok Shop: 10-count pink plastic syrup pumps 750ml-1L listed (sold count not in snippet) (https://shop.tiktok.com/us/pdp/coffee-syrup-pump-10-count-pink-plastic-easy-dose-dispensing/1731302624438359002)</t>
        </is>
      </c>
      <c r="K59" s="3" t="inlineStr">
        <is>
          <t>$6.99 for 4 (TikTok Shop)</t>
        </is>
      </c>
      <c r="L59" s="3" t="inlineStr">
        <is>
          <t>unknown</t>
        </is>
      </c>
      <c r="M59" s="3" t="inlineStr">
        <is>
          <t>none (do not mention Torani/Starbucks/Monin compatibility by brand in pins)</t>
        </is>
      </c>
      <c r="N59" s="3" t="inlineStr">
        <is>
          <t>none (food contact plastic; state BPA-free)</t>
        </is>
      </c>
      <c r="O59" s="3" t="inlineStr">
        <is>
          <t>The 'home coffee bar' pin format is huge; pink pumps are the cheapest visible upgrade.</t>
        </is>
      </c>
      <c r="P59" s="3" t="inlineStr">
        <is>
          <t>REJECT</t>
        </is>
      </c>
      <c r="Q59" s="3" t="inlineStr">
        <is>
          <t>Numeric signal exists but weaker than the 40 kept, or it duplicates a kept product in the same look.</t>
        </is>
      </c>
    </row>
    <row r="60">
      <c r="A60" s="3" t="inlineStr">
        <is>
          <t>C059</t>
        </is>
      </c>
      <c r="B60" s="3" t="inlineStr">
        <is>
          <t>Bow glass cup 16oz with bamboo lid and glass straw (pink, set of 2)</t>
        </is>
      </c>
      <c r="C60" s="3" t="inlineStr">
        <is>
          <t>home-cozy</t>
        </is>
      </c>
      <c r="D60" s="3" t="inlineStr">
        <is>
          <t>Pink Home, Dorm and Car Finds - the pink coffee bar / iced coffee</t>
        </is>
      </c>
      <c r="E60" s="3" t="inlineStr">
        <is>
          <t>keyword page 'bow cup with straw': 443 sold, flash sale $12.47 (-58% from $29.49)</t>
        </is>
      </c>
      <c r="F60" s="3" t="inlineStr">
        <is>
          <t>TikTok Shop</t>
        </is>
      </c>
      <c r="G60" s="3" t="inlineStr">
        <is>
          <t>https://shop.tiktok.com/us/k/bow-cup-with-straw</t>
        </is>
      </c>
      <c r="H60" s="3" t="inlineStr">
        <is>
          <t>live page, seen 2026-09-27</t>
        </is>
      </c>
      <c r="I60" s="3" t="inlineStr">
        <is>
          <t>seen in search snippet</t>
        </is>
      </c>
      <c r="J60" s="3" t="inlineStr">
        <is>
          <t>TikTok Shop: pink &amp; gold butterfly 16oz glass cup with bling lid + straw: 6 sold, $20.00 (https://shop.tiktok.com/us/pdp/glass-cup-16oz-pink-gold-butterfly-with-bling-lid-straw/1729385926993875734)</t>
        </is>
      </c>
      <c r="K60" s="3" t="inlineStr">
        <is>
          <t>$12.47-$22 (TikTok Shop); coquette bow glass cup gift set (bamboo lid, glass + steel straw, brush, gift box) https://shop.tiktok.com/us/pdp/coquette-cute-pink-bow-glass-cups-with-lids-straws-16oz/1732209478379343983</t>
        </is>
      </c>
      <c r="L60" s="3" t="inlineStr">
        <is>
          <t>unknown</t>
        </is>
      </c>
      <c r="M60" s="3" t="inlineStr">
        <is>
          <t>none (avoid 'Starbucks cup' phrasing)</t>
        </is>
      </c>
      <c r="N60" s="3" t="inlineStr">
        <is>
          <t>none</t>
        </is>
      </c>
      <c r="O60" s="3" t="inlineStr">
        <is>
          <t>Bow + iced coffee + pink = the exact coquette flat-lay; gift-box version doubles as a gifting pin.</t>
        </is>
      </c>
      <c r="P60" s="3" t="inlineStr">
        <is>
          <t>REJECT</t>
        </is>
      </c>
      <c r="Q60" s="3" t="inlineStr">
        <is>
          <t>Numeric signal exists but weaker than the 40 kept, or it duplicates a kept product in the same look.</t>
        </is>
      </c>
    </row>
    <row r="61">
      <c r="A61" s="2" t="inlineStr">
        <is>
          <t>C060</t>
        </is>
      </c>
      <c r="B61" s="2" t="inlineStr">
        <is>
          <t>Pink reusable plastic party / iced-coffee cups (16oz pack)</t>
        </is>
      </c>
      <c r="C61" s="2" t="inlineStr">
        <is>
          <t>home-cozy</t>
        </is>
      </c>
      <c r="D61" s="2" t="inlineStr">
        <is>
          <t>Pink Home, Dorm and Car Finds - pink hosting / coffee bar</t>
        </is>
      </c>
      <c r="E61" s="2" t="inlineStr">
        <is>
          <t>keyword page 'pink solo cups': 1.9K sold, $25.99 (-26% from $34.99)</t>
        </is>
      </c>
      <c r="F61" s="2" t="inlineStr">
        <is>
          <t>TikTok Shop</t>
        </is>
      </c>
      <c r="G61" s="2" t="inlineStr">
        <is>
          <t>https://shop.tiktok.com/us/k/pink-solo-cups</t>
        </is>
      </c>
      <c r="H61" s="2" t="inlineStr">
        <is>
          <t>live page, seen 2026-09-27</t>
        </is>
      </c>
      <c r="I61" s="2" t="inlineStr">
        <is>
          <t>seen in search snippet</t>
        </is>
      </c>
      <c r="J61" s="2" t="inlineStr">
        <is>
          <t>TikTok Shop: 50-pack pink clear plastic cups with lids and straws 12oz listed (sold count not in snippet) (https://shop.tiktok.com/us/pdp/50-pack-leak-proof-pink-clear-plastic-cups-with-lids-straws/1732283083130900570)</t>
        </is>
      </c>
      <c r="K61" s="2" t="inlineStr">
        <is>
          <t>$25.99 per pack (TikTok Shop)</t>
        </is>
      </c>
      <c r="L61" s="2" t="inlineStr">
        <is>
          <t>unknown</t>
        </is>
      </c>
      <c r="M61" s="2" t="inlineStr">
        <is>
          <t>note: 'Solo' is a trademark - sell as 'pink party cups', never 'pink Solo cups'</t>
        </is>
      </c>
      <c r="N61" s="2" t="inlineStr">
        <is>
          <t>none</t>
        </is>
      </c>
      <c r="O61" s="2" t="inlineStr">
        <is>
          <t>Pink hosting/bachelorette/girls-night pin; consumable so repeat purchase.</t>
        </is>
      </c>
      <c r="P61" s="2" t="inlineStr">
        <is>
          <t>BANK Q05</t>
        </is>
      </c>
      <c r="Q61" s="2" t="inlineStr"/>
    </row>
    <row r="62">
      <c r="A62" s="3" t="inlineStr">
        <is>
          <t>C061</t>
        </is>
      </c>
      <c r="B62" s="3" t="inlineStr">
        <is>
          <t>Pink stick-on bathroom caddy set (5-pack, stainless, toothbrush + soap holder)</t>
        </is>
      </c>
      <c r="C62" s="3" t="inlineStr">
        <is>
          <t>home-cozy</t>
        </is>
      </c>
      <c r="D62" s="3" t="inlineStr">
        <is>
          <t>Pink Home, Dorm and Car Finds - pink bathroom / dorm shower</t>
        </is>
      </c>
      <c r="E62" s="3" t="inlineStr">
        <is>
          <t>pink bathroom accessories keyword results: listing with 85 sold at $15.80</t>
        </is>
      </c>
      <c r="F62" s="3" t="inlineStr">
        <is>
          <t>TikTok Shop</t>
        </is>
      </c>
      <c r="G62" s="3" t="inlineStr">
        <is>
          <t>https://shop.tiktok.com/us/k/pink-soap-dispenser-set</t>
        </is>
      </c>
      <c r="H62" s="3" t="inlineStr">
        <is>
          <t>live page, seen 2026-09-27</t>
        </is>
      </c>
      <c r="I62" s="3" t="inlineStr">
        <is>
          <t>seen in search snippet (85 sold figure appears in the results set; exact listing attribution not certain)</t>
        </is>
      </c>
      <c r="J62" s="3" t="inlineStr"/>
      <c r="K62" s="3" t="inlineStr">
        <is>
          <t>$15.80 (TikTok Shop)</t>
        </is>
      </c>
      <c r="L62" s="3" t="inlineStr">
        <is>
          <t>unknown</t>
        </is>
      </c>
      <c r="M62" s="3" t="inlineStr">
        <is>
          <t>none</t>
        </is>
      </c>
      <c r="N62" s="3" t="inlineStr">
        <is>
          <t>none</t>
        </is>
      </c>
      <c r="O62" s="3" t="inlineStr">
        <is>
          <t>No-drill pink bathroom refresh for renters and dorms; sits in 'pink bathroom' boards.</t>
        </is>
      </c>
      <c r="P62" s="3" t="inlineStr">
        <is>
          <t>REJECT</t>
        </is>
      </c>
      <c r="Q62" s="3" t="inlineStr">
        <is>
          <t>Numeric signal exists but weaker than the 40 kept, or it duplicates a kept product in the same look.</t>
        </is>
      </c>
    </row>
    <row r="63">
      <c r="A63" s="2" t="inlineStr">
        <is>
          <t>C062</t>
        </is>
      </c>
      <c r="B63" s="2" t="inlineStr">
        <is>
          <t>Pink wearable / hooded fleece blanket</t>
        </is>
      </c>
      <c r="C63" s="2" t="inlineStr">
        <is>
          <t>home-cozy</t>
        </is>
      </c>
      <c r="D63" s="2" t="inlineStr">
        <is>
          <t>Pink Home, Dorm and Car Finds - cozy pink living room</t>
        </is>
      </c>
      <c r="E63" s="2" t="inlineStr">
        <is>
          <t>keyword page 'pink snuggie blanket': 167 sold, $4.65</t>
        </is>
      </c>
      <c r="F63" s="2" t="inlineStr">
        <is>
          <t>TikTok Shop</t>
        </is>
      </c>
      <c r="G63" s="2" t="inlineStr">
        <is>
          <t>https://shop.tiktok.com/us/k/pink-snuggie-blanket</t>
        </is>
      </c>
      <c r="H63" s="2" t="inlineStr">
        <is>
          <t>live page, seen 2026-09-27</t>
        </is>
      </c>
      <c r="I63" s="2" t="inlineStr">
        <is>
          <t>seen in search snippet</t>
        </is>
      </c>
      <c r="J63" s="2" t="inlineStr"/>
      <c r="K63" s="2" t="inlineStr">
        <is>
          <t>$4.65 (TikTok Shop, deal price)</t>
        </is>
      </c>
      <c r="L63" s="2" t="inlineStr">
        <is>
          <t>unknown</t>
        </is>
      </c>
      <c r="M63" s="2" t="inlineStr">
        <is>
          <t>note: 'Snuggie' is a trademark - list as 'wearable blanket'</t>
        </is>
      </c>
      <c r="N63" s="2" t="inlineStr">
        <is>
          <t>none (exclude the pink electric blanket, 75 sold, which is a heated electrical item)</t>
        </is>
      </c>
      <c r="O63" s="2" t="inlineStr">
        <is>
          <t>Fall/winter cozy-girl pin; low price point drives impulse saves.</t>
        </is>
      </c>
      <c r="P63" s="2" t="inlineStr">
        <is>
          <t>BANK E24</t>
        </is>
      </c>
      <c r="Q63" s="2" t="inlineStr"/>
    </row>
    <row r="64">
      <c r="A64" s="3" t="inlineStr">
        <is>
          <t>C063</t>
        </is>
      </c>
      <c r="B64" s="3" t="inlineStr">
        <is>
          <t>Pink bow bedding / duvet set</t>
        </is>
      </c>
      <c r="C64" s="3" t="inlineStr">
        <is>
          <t>home-cozy</t>
        </is>
      </c>
      <c r="D64" s="3" t="inlineStr">
        <is>
          <t>Pink Home, Dorm and Car Finds - coquette pink bedroom</t>
        </is>
      </c>
      <c r="E64" s="3" t="inlineStr">
        <is>
          <t>keyword page 'bedding set pink bow': 8 sold, $13.61-$52.99</t>
        </is>
      </c>
      <c r="F64" s="3" t="inlineStr">
        <is>
          <t>TikTok Shop</t>
        </is>
      </c>
      <c r="G64" s="3" t="inlineStr">
        <is>
          <t>https://shop.tiktok.com/us/k/bedding-set-pink-bow</t>
        </is>
      </c>
      <c r="H64" s="3" t="inlineStr">
        <is>
          <t>live page, seen 2026-09-27</t>
        </is>
      </c>
      <c r="I64" s="3" t="inlineStr">
        <is>
          <t>seen in search snippet (weak: 8 sold)</t>
        </is>
      </c>
      <c r="J64" s="3" t="inlineStr"/>
      <c r="K64" s="3" t="inlineStr">
        <is>
          <t>$13.61-$52.99 (TikTok Shop)</t>
        </is>
      </c>
      <c r="L64" s="3" t="inlineStr">
        <is>
          <t>unknown</t>
        </is>
      </c>
      <c r="M64" s="3" t="inlineStr">
        <is>
          <t>none</t>
        </is>
      </c>
      <c r="N64" s="3" t="inlineStr">
        <is>
          <t>none</t>
        </is>
      </c>
      <c r="O64" s="3" t="inlineStr">
        <is>
          <t>Bow print bedding is the hero image of every coquette dorm board.</t>
        </is>
      </c>
      <c r="P64" s="3" t="inlineStr">
        <is>
          <t>REJECT</t>
        </is>
      </c>
      <c r="Q64" s="3" t="inlineStr">
        <is>
          <t>Bulky or heavy: inbound shipping pushes the price out of the Pink Finds band.</t>
        </is>
      </c>
    </row>
    <row r="65">
      <c r="A65" s="3" t="inlineStr">
        <is>
          <t>C064</t>
        </is>
      </c>
      <c r="B65" s="3" t="inlineStr">
        <is>
          <t>Small fluffy pink bedroom / bedside rug</t>
        </is>
      </c>
      <c r="C65" s="3" t="inlineStr">
        <is>
          <t>home-cozy</t>
        </is>
      </c>
      <c r="D65" s="3" t="inlineStr">
        <is>
          <t>Pink Home, Dorm and Car Finds - pink dorm floor</t>
        </is>
      </c>
      <c r="E65" s="3" t="inlineStr">
        <is>
          <t>keyword page 'small carpet for bedroom pink': 15 sold, $15.97 (from $25.34), limited-time deal</t>
        </is>
      </c>
      <c r="F65" s="3" t="inlineStr">
        <is>
          <t>TikTok Shop</t>
        </is>
      </c>
      <c r="G65" s="3" t="inlineStr">
        <is>
          <t>https://shop.tiktok.com/us/k/small-carpet-for-bedroom-pink</t>
        </is>
      </c>
      <c r="H65" s="3" t="inlineStr">
        <is>
          <t>live page, seen 2026-09-27</t>
        </is>
      </c>
      <c r="I65" s="3" t="inlineStr">
        <is>
          <t>seen in search snippet</t>
        </is>
      </c>
      <c r="J65" s="3" t="inlineStr">
        <is>
          <t>AliExpress: VIKAMA pink round fluffy rug: 8 sold (https://www.aliexpress.com/i/3256811355276707.html)</t>
        </is>
      </c>
      <c r="K65" s="3" t="inlineStr">
        <is>
          <t>$15.97 (TikTok Shop)</t>
        </is>
      </c>
      <c r="L65" s="3" t="inlineStr">
        <is>
          <t>unknown (AliExpress item 3256811355276707)</t>
        </is>
      </c>
      <c r="M65" s="3" t="inlineStr">
        <is>
          <t>none</t>
        </is>
      </c>
      <c r="N65" s="3" t="inlineStr">
        <is>
          <t>none</t>
        </is>
      </c>
      <c r="O65" s="3" t="inlineStr">
        <is>
          <t>Cheap floor colour for renters; checkerboard pink version had no numeric signal (see no-signal).</t>
        </is>
      </c>
      <c r="P65" s="3" t="inlineStr">
        <is>
          <t>REJECT</t>
        </is>
      </c>
      <c r="Q65" s="3" t="inlineStr">
        <is>
          <t>Bulky or heavy: inbound shipping pushes the price out of the Pink Finds band.</t>
        </is>
      </c>
    </row>
    <row r="66">
      <c r="A66" s="3" t="inlineStr">
        <is>
          <t>C065</t>
        </is>
      </c>
      <c r="B66" s="3" t="inlineStr">
        <is>
          <t>12-in-1 pink silicone kitchen utensil set</t>
        </is>
      </c>
      <c r="C66" s="3" t="inlineStr">
        <is>
          <t>home-cozy</t>
        </is>
      </c>
      <c r="D66" s="3" t="inlineStr">
        <is>
          <t>Pink Home, Dorm and Car Finds - pink kitchen</t>
        </is>
      </c>
      <c r="E66" s="3" t="inlineStr">
        <is>
          <t>12-in-1 pink silicone utensil set: 1 sold, $32.21, seller Elite Fly, out of stock</t>
        </is>
      </c>
      <c r="F66" s="3" t="inlineStr">
        <is>
          <t>TikTok Shop</t>
        </is>
      </c>
      <c r="G66" s="3" t="inlineStr">
        <is>
          <t>https://shop.tiktok.com/us/pdp/12-in-1-pink-silicone-kitchen-utensil-set-food-grade-tools/1732219701916766908</t>
        </is>
      </c>
      <c r="H66" s="3" t="inlineStr">
        <is>
          <t>live page, seen 2026-09-27</t>
        </is>
      </c>
      <c r="I66" s="3" t="inlineStr">
        <is>
          <t>seen in search snippet (very weak: 1 sold)</t>
        </is>
      </c>
      <c r="J66" s="3" t="inlineStr"/>
      <c r="K66" s="3" t="inlineStr">
        <is>
          <t>$32.21 (TikTok Shop)</t>
        </is>
      </c>
      <c r="L66" s="3" t="inlineStr">
        <is>
          <t>unknown</t>
        </is>
      </c>
      <c r="M66" s="3" t="inlineStr">
        <is>
          <t>none</t>
        </is>
      </c>
      <c r="N66" s="3" t="inlineStr">
        <is>
          <t>none (food-grade silicone, state heat rating)</t>
        </is>
      </c>
      <c r="O66" s="3" t="inlineStr">
        <is>
          <t>Pink kitchen flat-lay anchor; signal is weak on TikTok Shop, so treat as Amazon/Pinterest-led product.</t>
        </is>
      </c>
      <c r="P66" s="3" t="inlineStr">
        <is>
          <t>REJECT</t>
        </is>
      </c>
      <c r="Q66" s="3" t="inlineStr">
        <is>
          <t>Numeric signal exists but weaker than the 40 kept, or it duplicates a kept product in the same look.</t>
        </is>
      </c>
    </row>
    <row r="67">
      <c r="A67" s="3" t="inlineStr">
        <is>
          <t>C066</t>
        </is>
      </c>
      <c r="B67" s="3" t="inlineStr">
        <is>
          <t>Pastel pink wall shelf (dorm / vanity)</t>
        </is>
      </c>
      <c r="C67" s="3" t="inlineStr">
        <is>
          <t>home-cozy</t>
        </is>
      </c>
      <c r="D67" s="3" t="inlineStr">
        <is>
          <t>Pink Home, Dorm and Car Finds - pink dorm wall</t>
        </is>
      </c>
      <c r="E67" s="3" t="inlineStr">
        <is>
          <t>Listicle (Printify / adnabu TikTok trending products 2026) quotes a seller A/B test: pastel pink wall shelf had 40% higher ad engagement among Gen Z vs other colour</t>
        </is>
      </c>
      <c r="F67" s="3" t="inlineStr">
        <is>
          <t>other</t>
        </is>
      </c>
      <c r="G67" s="3" t="inlineStr">
        <is>
          <t>https://printify.com/blog/tiktok-trending-products/</t>
        </is>
      </c>
      <c r="H67" s="3" t="inlineStr">
        <is>
          <t>2026</t>
        </is>
      </c>
      <c r="I67" s="3" t="inlineStr">
        <is>
          <t>unverified: secondhand A/B-test figure, original seller not named</t>
        </is>
      </c>
      <c r="J67" s="3" t="inlineStr"/>
      <c r="K67" s="3" t="inlineStr">
        <is>
          <t>unknown</t>
        </is>
      </c>
      <c r="L67" s="3" t="inlineStr">
        <is>
          <t>unknown</t>
        </is>
      </c>
      <c r="M67" s="3" t="inlineStr">
        <is>
          <t>none</t>
        </is>
      </c>
      <c r="N67" s="3" t="inlineStr">
        <is>
          <t>none</t>
        </is>
      </c>
      <c r="O67" s="3" t="inlineStr">
        <is>
          <t>Wall shelves are the backdrop of every 'pink desk setup' pin; pink colourway lifts engagement.</t>
        </is>
      </c>
      <c r="P67" s="3" t="inlineStr">
        <is>
          <t>REJECT</t>
        </is>
      </c>
      <c r="Q67" s="3" t="inlineStr">
        <is>
          <t>Bulky or heavy: inbound shipping pushes the price out of the Pink Finds band.</t>
        </is>
      </c>
    </row>
    <row r="68">
      <c r="A68" s="2" t="inlineStr">
        <is>
          <t>C067</t>
        </is>
      </c>
      <c r="B68" s="2" t="inlineStr">
        <is>
          <t>Pink car trash can with lid (mini, hooks, leak-proof)</t>
        </is>
      </c>
      <c r="C68" s="2" t="inlineStr">
        <is>
          <t>car</t>
        </is>
      </c>
      <c r="D68" s="2" t="inlineStr">
        <is>
          <t>Pink Home, Dorm and Car Finds - pink car essentials</t>
        </is>
      </c>
      <c r="E68" s="2" t="inlineStr">
        <is>
          <t>NO SIGNAL</t>
        </is>
      </c>
      <c r="F68" s="2" t="inlineStr"/>
      <c r="G68" s="2" t="inlineStr"/>
      <c r="H68" s="2" t="inlineStr"/>
      <c r="I68" s="2" t="inlineStr"/>
      <c r="J68" s="2" t="inlineStr"/>
      <c r="K68" s="2" t="inlineStr">
        <is>
          <t>unknown (TikTok Shop listing exists: https://shop.tiktok.com/us/pdp/pink-car-trash-can-with-lid-hooks-compact-odor-proof/1731541502944252808)</t>
        </is>
      </c>
      <c r="L68" s="2" t="inlineStr">
        <is>
          <t>unknown</t>
        </is>
      </c>
      <c r="M68" s="2" t="inlineStr">
        <is>
          <t>none</t>
        </is>
      </c>
      <c r="N68" s="2" t="inlineStr">
        <is>
          <t>none</t>
        </is>
      </c>
      <c r="O68" s="2" t="inlineStr">
        <is>
          <t>Every 'pink car must-haves' pin includes one; no sold count visible in snippets.</t>
        </is>
      </c>
      <c r="P68" s="2" t="inlineStr">
        <is>
          <t>BANK E09</t>
        </is>
      </c>
      <c r="Q68" s="2" t="inlineStr"/>
    </row>
    <row r="69">
      <c r="A69" s="2" t="inlineStr">
        <is>
          <t>C068</t>
        </is>
      </c>
      <c r="B69" s="2" t="inlineStr">
        <is>
          <t>Bling rhinestone / pink glitter car cup-holder coasters (2-4 pack)</t>
        </is>
      </c>
      <c r="C69" s="2" t="inlineStr">
        <is>
          <t>car</t>
        </is>
      </c>
      <c r="D69" s="2" t="inlineStr">
        <is>
          <t>Pink Home, Dorm and Car Finds - pink car essentials</t>
        </is>
      </c>
      <c r="E69" s="2" t="inlineStr">
        <is>
          <t>keyword page 'hot pink car accesories': top listing 6 sold, $6.60 (from $11.75) - bling coasters appear in related searches</t>
        </is>
      </c>
      <c r="F69" s="2" t="inlineStr">
        <is>
          <t>TikTok Shop</t>
        </is>
      </c>
      <c r="G69" s="2" t="inlineStr">
        <is>
          <t>https://shop.tiktok.com/us/k/hot-pink-car-accesories</t>
        </is>
      </c>
      <c r="H69" s="2" t="inlineStr">
        <is>
          <t>live page, seen 2026-09-27</t>
        </is>
      </c>
      <c r="I69" s="2" t="inlineStr">
        <is>
          <t>seen in search snippet; unverified: not confirmed to be the coaster listing</t>
        </is>
      </c>
      <c r="J69" s="2" t="inlineStr"/>
      <c r="K69" s="2" t="inlineStr">
        <is>
          <t>unknown; TikTok Shop 2-pack bling rhinestone coasters https://shop.tiktok.com/us/pdp/car-cup-coasters-2-pack-by-bling-2-75-rhinestone-anti-slip-design/1730861607420793495; Etsy pink glitter car coasters https://www.etsy.com/listing/1449206434/pink-glitter-car-coasters-pink-car</t>
        </is>
      </c>
      <c r="L69" s="2" t="inlineStr">
        <is>
          <t>unknown</t>
        </is>
      </c>
      <c r="M69" s="2" t="inlineStr">
        <is>
          <t>none</t>
        </is>
      </c>
      <c r="N69" s="2" t="inlineStr">
        <is>
          <t>none</t>
        </is>
      </c>
      <c r="O69" s="2" t="inlineStr">
        <is>
          <t>Cheapest bling add-on; ideal bundle item. Numeric signal not clearly attributable.</t>
        </is>
      </c>
      <c r="P69" s="2" t="inlineStr">
        <is>
          <t>BANK E10</t>
        </is>
      </c>
      <c r="Q69" s="2" t="inlineStr"/>
    </row>
    <row r="70">
      <c r="A70" s="2" t="inlineStr">
        <is>
          <t>C069</t>
        </is>
      </c>
      <c r="B70" s="2" t="inlineStr">
        <is>
          <t>Plush pink seat-belt covers (2-pack)</t>
        </is>
      </c>
      <c r="C70" s="2" t="inlineStr">
        <is>
          <t>car</t>
        </is>
      </c>
      <c r="D70" s="2" t="inlineStr">
        <is>
          <t>Pink Home, Dorm and Car Finds - pink car essentials</t>
        </is>
      </c>
      <c r="E70" s="2" t="inlineStr">
        <is>
          <t>NO SIGNAL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unknown (TikTok Shop listing https://shop.tiktok.com/us/pdp/soft-comfortable-plush-car-seatbelt-cover-pink-2-pack/1732037604390703284)</t>
        </is>
      </c>
      <c r="L70" s="2" t="inlineStr">
        <is>
          <t>unknown</t>
        </is>
      </c>
      <c r="M70" s="2" t="inlineStr">
        <is>
          <t>none (avoid 'jelly cat seat belt covers' keyword - Jellycat trademark)</t>
        </is>
      </c>
      <c r="N70" s="2" t="inlineStr">
        <is>
          <t>none</t>
        </is>
      </c>
      <c r="O70" s="2" t="inlineStr">
        <is>
          <t>Matches fluffy steering cover; bundle item.</t>
        </is>
      </c>
      <c r="P70" s="2" t="inlineStr">
        <is>
          <t>BANK E11</t>
        </is>
      </c>
      <c r="Q70" s="2" t="inlineStr"/>
    </row>
    <row r="71">
      <c r="A71" s="3" t="inlineStr">
        <is>
          <t>C070</t>
        </is>
      </c>
      <c r="B71" s="3" t="inlineStr">
        <is>
          <t>Pink car tissue box holder (visor / armrest)</t>
        </is>
      </c>
      <c r="C71" s="3" t="inlineStr">
        <is>
          <t>car</t>
        </is>
      </c>
      <c r="D71" s="3" t="inlineStr">
        <is>
          <t>Pink Home, Dorm and Car Finds - pink car essentials</t>
        </is>
      </c>
      <c r="E71" s="3" t="inlineStr">
        <is>
          <t>NO SIGNAL</t>
        </is>
      </c>
      <c r="F71" s="3" t="inlineStr"/>
      <c r="G71" s="3" t="inlineStr"/>
      <c r="H71" s="3" t="inlineStr"/>
      <c r="I71" s="3" t="inlineStr"/>
      <c r="J71" s="3" t="inlineStr"/>
      <c r="K71" s="3" t="inlineStr">
        <is>
          <t>unknown; a black/red universal holder showed 4 sold https://shop.tiktok.com/us/pdp/universal-car-tissue-box-holder-hanging-paper-dispenser/1732088208749400647</t>
        </is>
      </c>
      <c r="L71" s="3" t="inlineStr">
        <is>
          <t>unknown</t>
        </is>
      </c>
      <c r="M71" s="3" t="inlineStr">
        <is>
          <t>none</t>
        </is>
      </c>
      <c r="N71" s="3" t="inlineStr">
        <is>
          <t>none</t>
        </is>
      </c>
      <c r="O71" s="3" t="inlineStr">
        <is>
          <t>Practical pink car pin; no pink-specific number found.</t>
        </is>
      </c>
      <c r="P71" s="3" t="inlineStr">
        <is>
          <t>REJECT</t>
        </is>
      </c>
      <c r="Q71" s="3" t="inlineStr">
        <is>
          <t>No numeric signal found (listings exist, counts not visible in snippets).</t>
        </is>
      </c>
    </row>
    <row r="72">
      <c r="A72" s="3" t="inlineStr">
        <is>
          <t>C071</t>
        </is>
      </c>
      <c r="B72" s="3" t="inlineStr">
        <is>
          <t>Flower / daisy car vent clips (decorative, unscented holder, set of 4)</t>
        </is>
      </c>
      <c r="C72" s="3" t="inlineStr">
        <is>
          <t>car</t>
        </is>
      </c>
      <c r="D72" s="3" t="inlineStr">
        <is>
          <t>Pink Home, Dorm and Car Finds - pink car essentials</t>
        </is>
      </c>
      <c r="E72" s="3" t="inlineStr">
        <is>
          <t>NO SIGNAL</t>
        </is>
      </c>
      <c r="F72" s="3" t="inlineStr"/>
      <c r="G72" s="3" t="inlineStr"/>
      <c r="H72" s="3" t="inlineStr"/>
      <c r="I72" s="3" t="inlineStr"/>
      <c r="J72" s="3" t="inlineStr"/>
      <c r="K72" s="3" t="inlineStr">
        <is>
          <t>unknown (TikTok Shop listing https://shop.tiktok.com/us/pdp/car-air-freshener-clip-by-cute-flower-alloy-daisy-design-set-of-four/1729451266155254730)</t>
        </is>
      </c>
      <c r="L72" s="3" t="inlineStr">
        <is>
          <t>unknown</t>
        </is>
      </c>
      <c r="M72" s="3" t="inlineStr">
        <is>
          <t>none</t>
        </is>
      </c>
      <c r="N72" s="3" t="inlineStr">
        <is>
          <t>none as decorative clip; liability note: if sold scented, fragrance oil is a chemical product (labelling, allergen, spill on dash) - prefer unscented decorative clip</t>
        </is>
      </c>
      <c r="O72" s="3" t="inlineStr">
        <is>
          <t>Tiny, cheap, photographs in the vent close-up shot.</t>
        </is>
      </c>
      <c r="P72" s="3" t="inlineStr">
        <is>
          <t>REJECT</t>
        </is>
      </c>
      <c r="Q72" s="3" t="inlineStr">
        <is>
          <t>No numeric signal found (listings exist, counts not visible in snippets).</t>
        </is>
      </c>
    </row>
    <row r="73">
      <c r="A73" s="3" t="inlineStr">
        <is>
          <t>C072</t>
        </is>
      </c>
      <c r="B73" s="3" t="inlineStr">
        <is>
          <t>Pink bow car headrest neck pillows (2-pack)</t>
        </is>
      </c>
      <c r="C73" s="3" t="inlineStr">
        <is>
          <t>car</t>
        </is>
      </c>
      <c r="D73" s="3" t="inlineStr">
        <is>
          <t>Pink Home, Dorm and Car Finds - pink car interior</t>
        </is>
      </c>
      <c r="E73" s="3" t="inlineStr">
        <is>
          <t>NO SIGNAL</t>
        </is>
      </c>
      <c r="F73" s="3" t="inlineStr"/>
      <c r="G73" s="3" t="inlineStr"/>
      <c r="H73" s="3" t="inlineStr"/>
      <c r="I73" s="3" t="inlineStr"/>
      <c r="J73" s="3" t="inlineStr"/>
      <c r="K73" s="3" t="inlineStr">
        <is>
          <t>unknown (TikTok Shop listing https://shop.tiktok.com/us/pdp/cute-pink-bow-car-headrest-pillow-set-soft-stylish/1732280398831653831)</t>
        </is>
      </c>
      <c r="L73" s="3" t="inlineStr">
        <is>
          <t>unknown</t>
        </is>
      </c>
      <c r="M73" s="3" t="inlineStr">
        <is>
          <t>none</t>
        </is>
      </c>
      <c r="N73" s="3" t="inlineStr">
        <is>
          <t>none</t>
        </is>
      </c>
      <c r="O73" s="3" t="inlineStr">
        <is>
          <t>Bow trend crossed with car interior; visible from the rear-seat photo.</t>
        </is>
      </c>
      <c r="P73" s="3" t="inlineStr">
        <is>
          <t>REJECT</t>
        </is>
      </c>
      <c r="Q73" s="3" t="inlineStr">
        <is>
          <t>No numeric signal found (listings exist, counts not visible in snippets).</t>
        </is>
      </c>
    </row>
    <row r="74">
      <c r="A74" s="3" t="inlineStr">
        <is>
          <t>C073</t>
        </is>
      </c>
      <c r="B74" s="3" t="inlineStr">
        <is>
          <t>Pink bow throw pillow / bow-shaped cushion</t>
        </is>
      </c>
      <c r="C74" s="3" t="inlineStr">
        <is>
          <t>home-cozy</t>
        </is>
      </c>
      <c r="D74" s="3" t="inlineStr">
        <is>
          <t>Pink Home, Dorm and Car Finds - coquette pink bedroom</t>
        </is>
      </c>
      <c r="E74" s="3" t="inlineStr">
        <is>
          <t>NO SIGNAL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unknown; Etsy coquette bow throw pillow listed Apr 12 2026 https://www.etsy.com/listing/1730755856/coquette-throw-pillow-pink-bows-pink; TikTok Shop pink bow pillow https://shop.tiktok.com/us/pdp/pink-bow-pillow-soft-decorative-cushion-for-bed-sofa/1731402404751643417</t>
        </is>
      </c>
      <c r="L74" s="3" t="inlineStr">
        <is>
          <t>unknown</t>
        </is>
      </c>
      <c r="M74" s="3" t="inlineStr">
        <is>
          <t>none</t>
        </is>
      </c>
      <c r="N74" s="3" t="inlineStr">
        <is>
          <t>none</t>
        </is>
      </c>
      <c r="O74" s="3" t="inlineStr">
        <is>
          <t>Core coquette object; sales counts were not exposed in Etsy/TikTok snippets.</t>
        </is>
      </c>
      <c r="P74" s="3" t="inlineStr">
        <is>
          <t>REJECT</t>
        </is>
      </c>
      <c r="Q74" s="3" t="inlineStr">
        <is>
          <t>No numeric signal found (listings exist, counts not visible in snippets).</t>
        </is>
      </c>
    </row>
    <row r="75">
      <c r="A75" s="3" t="inlineStr">
        <is>
          <t>C074</t>
        </is>
      </c>
      <c r="B75" s="3" t="inlineStr">
        <is>
          <t>Pink bow flannel throw blanket (coquette print)</t>
        </is>
      </c>
      <c r="C75" s="3" t="inlineStr">
        <is>
          <t>home-cozy</t>
        </is>
      </c>
      <c r="D75" s="3" t="inlineStr">
        <is>
          <t>Pink Home, Dorm and Car Finds - cozy pink living room</t>
        </is>
      </c>
      <c r="E75" s="3" t="inlineStr">
        <is>
          <t>NO SIGNAL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unknown (TikTok Shop listing https://shop.tiktok.com/us/pdp/pink-bow-christian-throw-blanket-god-says-i-am-coquette-style/1732253460881510477)</t>
        </is>
      </c>
      <c r="L75" s="3" t="inlineStr">
        <is>
          <t>unknown</t>
        </is>
      </c>
      <c r="M75" s="3" t="inlineStr">
        <is>
          <t>none</t>
        </is>
      </c>
      <c r="N75" s="3" t="inlineStr">
        <is>
          <t>none</t>
        </is>
      </c>
      <c r="O75" s="3" t="inlineStr">
        <is>
          <t>Print-on-demand friendly (Printify/Printful blanket) so zero inventory; no sold count seen.</t>
        </is>
      </c>
      <c r="P75" s="3" t="inlineStr">
        <is>
          <t>REJECT</t>
        </is>
      </c>
      <c r="Q75" s="3" t="inlineStr">
        <is>
          <t>No numeric signal found (listings exist, counts not visible in snippets).</t>
        </is>
      </c>
    </row>
    <row r="76">
      <c r="A76" s="3" t="inlineStr">
        <is>
          <t>C075</t>
        </is>
      </c>
      <c r="B76" s="3" t="inlineStr">
        <is>
          <t>Pink bow and hearts ceramic mug (11/15oz)</t>
        </is>
      </c>
      <c r="C76" s="3" t="inlineStr">
        <is>
          <t>home-cozy</t>
        </is>
      </c>
      <c r="D76" s="3" t="inlineStr">
        <is>
          <t>Pink Home, Dorm and Car Finds - the pink coffee bar</t>
        </is>
      </c>
      <c r="E76" s="3" t="inlineStr">
        <is>
          <t>NO SIGNAL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unknown (TikTok Shop listing https://shop.tiktok.com/us/pdp/pink-bow-heart-design-ceramic-coffee-mug-11oz-15oz-options/1729492075436610648)</t>
        </is>
      </c>
      <c r="L76" s="3" t="inlineStr">
        <is>
          <t>unknown</t>
        </is>
      </c>
      <c r="M76" s="3" t="inlineStr">
        <is>
          <t>none</t>
        </is>
      </c>
      <c r="N76" s="3" t="inlineStr">
        <is>
          <t>none</t>
        </is>
      </c>
      <c r="O76" s="3" t="inlineStr">
        <is>
          <t>POD mug = zero stock; pairs with syrup pumps and bow glass cup in one coffee-bar pin.</t>
        </is>
      </c>
      <c r="P76" s="3" t="inlineStr">
        <is>
          <t>REJECT</t>
        </is>
      </c>
      <c r="Q76" s="3" t="inlineStr">
        <is>
          <t>No numeric signal found (listings exist, counts not visible in snippets).</t>
        </is>
      </c>
    </row>
    <row r="77">
      <c r="A77" s="3" t="inlineStr">
        <is>
          <t>C076</t>
        </is>
      </c>
      <c r="B77" s="3" t="inlineStr">
        <is>
          <t>Pink bows &amp; hearts soap dispenser / pink glass 16oz soap dispenser</t>
        </is>
      </c>
      <c r="C77" s="3" t="inlineStr">
        <is>
          <t>home-cozy</t>
        </is>
      </c>
      <c r="D77" s="3" t="inlineStr">
        <is>
          <t>Pink Home, Dorm and Car Finds - pink bathroom</t>
        </is>
      </c>
      <c r="E77" s="3" t="inlineStr">
        <is>
          <t>NO SIGNAL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unknown (TikTok Shop listings https://shop.tiktok.com/us/pdp/whimsical-pink-bows-heart-soap-dispenser-cute-bathroom-kitchen/1732144138587050778 and https://shop.tiktok.com/us/pdp/pink-glass-soap-dispenser-with-plastic-pump-16-oz-capacity/1731324930288291902)</t>
        </is>
      </c>
      <c r="L77" s="3" t="inlineStr">
        <is>
          <t>unknown</t>
        </is>
      </c>
      <c r="M77" s="3" t="inlineStr">
        <is>
          <t>none</t>
        </is>
      </c>
      <c r="N77" s="3" t="inlineStr">
        <is>
          <t>none</t>
        </is>
      </c>
      <c r="O77" s="3" t="inlineStr">
        <is>
          <t>Sink-side hero of the pink bathroom pin.</t>
        </is>
      </c>
      <c r="P77" s="3" t="inlineStr">
        <is>
          <t>REJECT</t>
        </is>
      </c>
      <c r="Q77" s="3" t="inlineStr">
        <is>
          <t>No numeric signal found (listings exist, counts not visible in snippets).</t>
        </is>
      </c>
    </row>
    <row r="78">
      <c r="A78" s="3" t="inlineStr">
        <is>
          <t>C077</t>
        </is>
      </c>
      <c r="B78" s="3" t="inlineStr">
        <is>
          <t>Bow-shaped pink wax melts / pink bow candle</t>
        </is>
      </c>
      <c r="C78" s="3" t="inlineStr">
        <is>
          <t>home-cozy</t>
        </is>
      </c>
      <c r="D78" s="3" t="inlineStr">
        <is>
          <t>Pink Home, Dorm and Car Finds - cozy pink living room</t>
        </is>
      </c>
      <c r="E78" s="3" t="inlineStr">
        <is>
          <t>NO SIGNAL</t>
        </is>
      </c>
      <c r="F78" s="3" t="inlineStr"/>
      <c r="G78" s="3" t="inlineStr"/>
      <c r="H78" s="3" t="inlineStr"/>
      <c r="I78" s="3" t="inlineStr"/>
      <c r="J78" s="3" t="inlineStr"/>
      <c r="K78" s="3" t="inlineStr">
        <is>
          <t>unknown (TikTok Shop listing https://shop.tiktok.com/us/pdp/pink-bubblegum-scented-bow-shaped-wax-melts-made-with-paraffin-wax-essential-oils/1731485301992428390)</t>
        </is>
      </c>
      <c r="L78" s="3" t="inlineStr">
        <is>
          <t>unknown</t>
        </is>
      </c>
      <c r="M78" s="3" t="inlineStr">
        <is>
          <t>none</t>
        </is>
      </c>
      <c r="N78" s="3" t="inlineStr">
        <is>
          <t>none for flame candle/melts (note: the Etsy 'pink cherry bow candle warmer lamp' is electric - excluded)</t>
        </is>
      </c>
      <c r="O78" s="3" t="inlineStr">
        <is>
          <t>Bow-shaped wax is a pure Pinterest object; no sold count found.</t>
        </is>
      </c>
      <c r="P78" s="3" t="inlineStr">
        <is>
          <t>REJECT</t>
        </is>
      </c>
      <c r="Q78" s="3" t="inlineStr">
        <is>
          <t>No numeric signal found (listings exist, counts not visible in snippets).</t>
        </is>
      </c>
    </row>
    <row r="79">
      <c r="A79" s="3" t="inlineStr">
        <is>
          <t>C078</t>
        </is>
      </c>
      <c r="B79" s="3" t="inlineStr">
        <is>
          <t>Pink apron + oven mitt set</t>
        </is>
      </c>
      <c r="C79" s="3" t="inlineStr">
        <is>
          <t>home-cozy</t>
        </is>
      </c>
      <c r="D79" s="3" t="inlineStr">
        <is>
          <t>Pink Home, Dorm and Car Finds - pink kitchen</t>
        </is>
      </c>
      <c r="E79" s="3" t="inlineStr">
        <is>
          <t>NO SIGNAL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unknown</t>
        </is>
      </c>
      <c r="L79" s="3" t="inlineStr">
        <is>
          <t>unknown</t>
        </is>
      </c>
      <c r="M79" s="3" t="inlineStr">
        <is>
          <t>note: the visible top seller is a Paris Hilton branded 'That's HOT' mitt set - do not copy the phrase or name</t>
        </is>
      </c>
      <c r="N79" s="3" t="inlineStr">
        <is>
          <t>none</t>
        </is>
      </c>
      <c r="O79" s="3" t="inlineStr">
        <is>
          <t>Pink kitchen gifting pin; the only numbered listing is celebrity-branded, so generic demand unproven.</t>
        </is>
      </c>
      <c r="P79" s="3" t="inlineStr">
        <is>
          <t>REJECT</t>
        </is>
      </c>
      <c r="Q79" s="3" t="inlineStr">
        <is>
          <t>No numeric signal found (listings exist, counts not visible in snippets).</t>
        </is>
      </c>
    </row>
    <row r="80">
      <c r="A80" s="3" t="inlineStr">
        <is>
          <t>C079</t>
        </is>
      </c>
      <c r="B80" s="3" t="inlineStr">
        <is>
          <t>Pink checkerboard rug</t>
        </is>
      </c>
      <c r="C80" s="3" t="inlineStr">
        <is>
          <t>home-cozy</t>
        </is>
      </c>
      <c r="D80" s="3" t="inlineStr">
        <is>
          <t>Pink Home, Dorm and Car Finds - pink dorm floor</t>
        </is>
      </c>
      <c r="E80" s="3" t="inlineStr">
        <is>
          <t>NO SIGNAL</t>
        </is>
      </c>
      <c r="F80" s="3" t="inlineStr"/>
      <c r="G80" s="3" t="inlineStr"/>
      <c r="H80" s="3" t="inlineStr"/>
      <c r="I80" s="3" t="inlineStr"/>
      <c r="J80" s="3" t="inlineStr"/>
      <c r="K80" s="3" t="inlineStr">
        <is>
          <t>unknown</t>
        </is>
      </c>
      <c r="L80" s="3" t="inlineStr">
        <is>
          <t>unknown</t>
        </is>
      </c>
      <c r="M80" s="3" t="inlineStr">
        <is>
          <t>none</t>
        </is>
      </c>
      <c r="N80" s="3" t="inlineStr">
        <is>
          <t>none</t>
        </is>
      </c>
      <c r="O80" s="3" t="inlineStr">
        <is>
          <t>Requested item; searches surfaced pink rugs and checkered rugs separately but no pink-checkerboard listing with a count.</t>
        </is>
      </c>
      <c r="P80" s="3" t="inlineStr">
        <is>
          <t>REJECT</t>
        </is>
      </c>
      <c r="Q80" s="3" t="inlineStr">
        <is>
          <t>Bulky or heavy: inbound shipping pushes the price out of the Pink Finds band.</t>
        </is>
      </c>
    </row>
    <row r="81">
      <c r="A81" s="3" t="inlineStr">
        <is>
          <t>C080</t>
        </is>
      </c>
      <c r="B81" s="3" t="inlineStr">
        <is>
          <t>Pink entryway tray and wall hooks; pink car emergency kit; velvet/boucle pink cushions; pink diffuser</t>
        </is>
      </c>
      <c r="C81" s="3" t="inlineStr">
        <is>
          <t>home-cozy</t>
        </is>
      </c>
      <c r="D81" s="3" t="inlineStr">
        <is>
          <t>Pink Home, Dorm and Car Finds</t>
        </is>
      </c>
      <c r="E81" s="3" t="inlineStr">
        <is>
          <t>NO SIGNAL</t>
        </is>
      </c>
      <c r="F81" s="3" t="inlineStr"/>
      <c r="G81" s="3" t="inlineStr"/>
      <c r="H81" s="3" t="inlineStr"/>
      <c r="I81" s="3" t="inlineStr"/>
      <c r="J81" s="3" t="inlineStr"/>
      <c r="K81" s="3" t="inlineStr">
        <is>
          <t>unknown</t>
        </is>
      </c>
      <c r="L81" s="3" t="inlineStr">
        <is>
          <t>unknown</t>
        </is>
      </c>
      <c r="M81" s="3" t="inlineStr">
        <is>
          <t>none</t>
        </is>
      </c>
      <c r="N81" s="3" t="inlineStr">
        <is>
          <t>none</t>
        </is>
      </c>
      <c r="O81" s="3" t="inlineStr">
        <is>
          <t>Not searched - web search budget was exhausted at 200/200 session calls before these queries ran; lead should re-run with budget raised.</t>
        </is>
      </c>
      <c r="P81" s="3" t="inlineStr">
        <is>
          <t>REJECT</t>
        </is>
      </c>
      <c r="Q81" s="3" t="inlineStr">
        <is>
          <t>No numeric signal found before the search budget ran out (no signal, no product).</t>
        </is>
      </c>
    </row>
    <row r="82">
      <c r="A82" s="2" t="inlineStr">
        <is>
          <t>C081</t>
        </is>
      </c>
      <c r="B82" s="2" t="inlineStr">
        <is>
          <t>Pink PU leather desk mat / desk pad (large, waterproof, dual-sided)</t>
        </is>
      </c>
      <c r="C82" s="2" t="inlineStr">
        <is>
          <t>workwear-office</t>
        </is>
      </c>
      <c r="D82" s="2" t="inlineStr">
        <is>
          <t>The Law School Desk Setup, All Pink</t>
        </is>
      </c>
      <c r="E82" s="2" t="inlineStr">
        <is>
          <t>ASINsight 'pink desk pad' report: #1 ASIN B09DV56338 est. 10,000 monthly sales (down 20.0% MoM), #2 B085XRMSTT 6K/month, #3 B0CZDQ1SGG 5K/month; 131 tracked products; $10-$20 price zone = 59% of assortment</t>
        </is>
      </c>
      <c r="F82" s="2" t="inlineStr">
        <is>
          <t>Amazon Best Sellers</t>
        </is>
      </c>
      <c r="G82" s="2" t="inlineStr">
        <is>
          <t>https://www.asinsight.com/report/US/pink-desk-pad</t>
        </is>
      </c>
      <c r="H82" s="2" t="inlineStr">
        <is>
          <t>June 2026</t>
        </is>
      </c>
      <c r="I82" s="2" t="inlineStr">
        <is>
          <t>seen in snippet</t>
        </is>
      </c>
      <c r="J82" s="2" t="inlineStr">
        <is>
          <t>TikTok Shop: Keyword page 'desk mats pink leather' shows pink leather desk mat with 174 sold (https://shop.tiktok.com/us/k/desk-mats-pink-leather) | Etsy: Etsy market page lists bestsellers: Scalloped Gingham Desk Mat, Pastel Checkered wavy-edge desk mat, Coquette personalized desk pad (no sales counts in snippet) (https://www.etsy.com/market/pink_desk_mat)</t>
        </is>
      </c>
      <c r="K82" s="2" t="inlineStr">
        <is>
          <t>$10-$20 is the dominant Amazon price zone (ASINsight); TikTok Shop pink leather desk mats in the same range</t>
        </is>
      </c>
      <c r="L82" s="2" t="inlineStr">
        <is>
          <t>AliExpress felt/PU desk mats from about $0.99-$6 (AliExpress wholesale page https://www.aliexpress.com/w/wholesale-pink-desk-mat.html; felt XL mat 10,000+ sold at $0.99 https://aliexpress.com/item/1005006086188422.html)</t>
        </is>
      </c>
      <c r="M82" s="2" t="inlineStr">
        <is>
          <t>none (avoid Barbie/Hello Kitty prints)</t>
        </is>
      </c>
      <c r="N82" s="2" t="inlineStr">
        <is>
          <t>none</t>
        </is>
      </c>
      <c r="O82" s="2" t="inlineStr">
        <is>
          <t>One flat-lay hero piece that instantly turns any desk photo into the pink law-school aesthetic.</t>
        </is>
      </c>
      <c r="P82" s="2" t="inlineStr">
        <is>
          <t>BANK E01</t>
        </is>
      </c>
      <c r="Q82" s="2" t="inlineStr"/>
    </row>
    <row r="83">
      <c r="A83" s="3" t="inlineStr">
        <is>
          <t>C082</t>
        </is>
      </c>
      <c r="B83" s="3" t="inlineStr">
        <is>
          <t>Pink desk mat + keyboard wrist rest + mouse wrist rest 3-piece set</t>
        </is>
      </c>
      <c r="C83" s="3" t="inlineStr">
        <is>
          <t>workwear-office</t>
        </is>
      </c>
      <c r="D83" s="3" t="inlineStr">
        <is>
          <t>The Law School Desk Setup, All Pink</t>
        </is>
      </c>
      <c r="E83" s="3" t="inlineStr">
        <is>
          <t>Keyword page 'keyboard and mouse wrist pad pink and black' shows listing with 229 sold</t>
        </is>
      </c>
      <c r="F83" s="3" t="inlineStr">
        <is>
          <t>TikTok Shop</t>
        </is>
      </c>
      <c r="G83" s="3" t="inlineStr">
        <is>
          <t>https://shop.tiktok.com/us/k/keyboard-and-mouse-wrist-pad-pink-and-black</t>
        </is>
      </c>
      <c r="H83" s="3" t="inlineStr">
        <is>
          <t>seen 27 Sep 2026</t>
        </is>
      </c>
      <c r="I83" s="3" t="inlineStr">
        <is>
          <t>seen in snippet</t>
        </is>
      </c>
      <c r="J83" s="3" t="inlineStr">
        <is>
          <t>Amazon Best Sellers: ASINsight has a dedicated 'pink mouse pad with wrist rest' top-10 sales report for 2026 (numbers not visible in snippet) (https://www.asinsight.com/report/US/pink-mouse-pad-with-wrist-rest)</t>
        </is>
      </c>
      <c r="K83" s="3" t="inlineStr">
        <is>
          <t>Amazon: Bloss Pink Desk Mat + Wrist Rest set (B0H25744PZ), Anyshock Light Pink set (B0BXD4MCCK) - prices not in snippet; comparable desk-pad sets sit $10-$20 per ASINsight</t>
        </is>
      </c>
      <c r="L83" s="3" t="inlineStr">
        <is>
          <t>unknown</t>
        </is>
      </c>
      <c r="M83" s="3" t="inlineStr">
        <is>
          <t>none</t>
        </is>
      </c>
      <c r="N83" s="3" t="inlineStr">
        <is>
          <t>none</t>
        </is>
      </c>
      <c r="O83" s="3" t="inlineStr">
        <is>
          <t>Ergonomic and matching in one click; the wrist rests make the whole keyboard zone pink for the WFH desk photo.</t>
        </is>
      </c>
      <c r="P83" s="3" t="inlineStr">
        <is>
          <t>REJECT</t>
        </is>
      </c>
      <c r="Q83" s="3" t="inlineStr">
        <is>
          <t>Numeric signal exists but weaker than the 40 kept, or it duplicates a kept product in the same look.</t>
        </is>
      </c>
    </row>
    <row r="84">
      <c r="A84" s="2" t="inlineStr">
        <is>
          <t>C083</t>
        </is>
      </c>
      <c r="B84" s="2" t="inlineStr">
        <is>
          <t>Pink acrylic desk organizer / pen cup + tray set</t>
        </is>
      </c>
      <c r="C84" s="2" t="inlineStr">
        <is>
          <t>workwear-office</t>
        </is>
      </c>
      <c r="D84" s="2" t="inlineStr">
        <is>
          <t>The Law School Desk Setup, All Pink</t>
        </is>
      </c>
      <c r="E84" s="2" t="inlineStr">
        <is>
          <t>Amazon search 'pink acrylic desk organizer': listing with 100+ bought in past month at $13.99; 'pink desk organizer set' 200+ bought in past month; 'acrylic desk organizer set' 300+ bought; generic 'acrylic desk organizer' 4K+ bought in past month</t>
        </is>
      </c>
      <c r="F84" s="2" t="inlineStr">
        <is>
          <t>Amazon Best Sellers</t>
        </is>
      </c>
      <c r="G84" s="2" t="inlineStr">
        <is>
          <t>https://www.amazon.com/pink-acrylic-desk-organizer/s?k=pink+acrylic+desk+organizer</t>
        </is>
      </c>
      <c r="H84" s="2" t="inlineStr">
        <is>
          <t>seen 27 Sep 2026</t>
        </is>
      </c>
      <c r="I84" s="2" t="inlineStr">
        <is>
          <t>seen in snippet</t>
        </is>
      </c>
      <c r="J84" s="2" t="inlineStr">
        <is>
          <t>TikTok Shop: Keyword page 'office desk accessories pink' shows products ranging 13 to 1.3K sold, ratings 4.5-4.8; 'hot pink desk organizer ideas' products 9 to 658 sold (https://shop.tiktok.com/us/k/office-desk-accessories-pink) | Amazon Best Sellers: ASINsight 'pink desk organizer' 2026 report, #1 brand gianotter (numbers not in snippet) (https://www.asinsight.com/report/US/pink-desk-organizer)</t>
        </is>
      </c>
      <c r="K84" s="2" t="inlineStr">
        <is>
          <t>$13.99 on Amazon (snippet); TikTok Shop similar</t>
        </is>
      </c>
      <c r="L84" s="2" t="inlineStr">
        <is>
          <t>AliExpress hot pink mesh 7-compartment desk organizer with drawer US$6.79 (https://www.aliexpress.com/item/32824372086.html)</t>
        </is>
      </c>
      <c r="M84" s="2" t="inlineStr">
        <is>
          <t>none</t>
        </is>
      </c>
      <c r="N84" s="2" t="inlineStr">
        <is>
          <t>none</t>
        </is>
      </c>
      <c r="O84" s="2" t="inlineStr">
        <is>
          <t>Acrylic + pink reads 'organised corporate girlie'; a cheap, high-visual-impact restock for any desk tour.</t>
        </is>
      </c>
      <c r="P84" s="2" t="inlineStr">
        <is>
          <t>BANK E02</t>
        </is>
      </c>
      <c r="Q84" s="2" t="inlineStr"/>
    </row>
    <row r="85">
      <c r="A85" s="2" t="inlineStr">
        <is>
          <t>C084</t>
        </is>
      </c>
      <c r="B85" s="2" t="inlineStr">
        <is>
          <t>Pink desk stationery set (stapler, tape dispenser, scissors, clips, staple remover)</t>
        </is>
      </c>
      <c r="C85" s="2" t="inlineStr">
        <is>
          <t>workwear-office</t>
        </is>
      </c>
      <c r="D85" s="2" t="inlineStr">
        <is>
          <t>The Law School Desk Setup, All Pink</t>
        </is>
      </c>
      <c r="E85" s="2" t="inlineStr">
        <is>
          <t>Amazon 'pink office supplies' set (stapler, tape dispenser, scissors, clips, 1000 staples) 500+ bought in past month; UPIHO pink stapler &amp; tape dispenser set (B0B9MCDC74) 200+ bought in past month; WORKPRO pink mini stapler set (B0DBKND2Y5) 300+ bought; Knamoda pink mini stapler 2K+ bought in past month</t>
        </is>
      </c>
      <c r="F85" s="2" t="inlineStr">
        <is>
          <t>Amazon Best Sellers</t>
        </is>
      </c>
      <c r="G85" s="2" t="inlineStr">
        <is>
          <t>https://www.amazon.com/pink-stapler-tape-dispenser-set/s?k=pink+stapler+and+tape+dispenser+set</t>
        </is>
      </c>
      <c r="H85" s="2" t="inlineStr">
        <is>
          <t>seen 27 Sep 2026</t>
        </is>
      </c>
      <c r="I85" s="2" t="inlineStr">
        <is>
          <t>seen in snippet</t>
        </is>
      </c>
      <c r="J85" s="2" t="inlineStr"/>
      <c r="K85" s="2" t="inlineStr">
        <is>
          <t>unknown (Amazon set listings B0B9MCDC74, B0DBKND2Y5; price not in snippet)</t>
        </is>
      </c>
      <c r="L85" s="2" t="inlineStr">
        <is>
          <t>unknown (Temu 11-pc pink office supplies set and 9-pc pink set listed; price not in snippet)</t>
        </is>
      </c>
      <c r="M85" s="2" t="inlineStr">
        <is>
          <t>none</t>
        </is>
      </c>
      <c r="N85" s="2" t="inlineStr">
        <is>
          <t>none</t>
        </is>
      </c>
      <c r="O85" s="2" t="inlineStr">
        <is>
          <t>The matching-set instinct: every tool on the desk in the same blush, which is the whole point of the pin.</t>
        </is>
      </c>
      <c r="P85" s="2" t="inlineStr">
        <is>
          <t>BANK E03</t>
        </is>
      </c>
      <c r="Q85" s="2" t="inlineStr"/>
    </row>
    <row r="86">
      <c r="A86" s="2" t="inlineStr">
        <is>
          <t>C085</t>
        </is>
      </c>
      <c r="B86" s="2" t="inlineStr">
        <is>
          <t>Generic pink 40 oz insulated tumbler with handle and straw</t>
        </is>
      </c>
      <c r="C86" s="2" t="inlineStr">
        <is>
          <t>workwear-office</t>
        </is>
      </c>
      <c r="D86" s="2" t="inlineStr">
        <is>
          <t>The Law School Desk Setup, All Pink / Pink desk essentials</t>
        </is>
      </c>
      <c r="E86" s="2" t="inlineStr">
        <is>
          <t>ASINsight 'pink tumbler with straw' report: #1 ASIN B0D6C6GS58 10K monthly sales, #2 B0CQVWT2NH 8K/month (+20.0% MoM, fastest growing), #3 B0CP9YB3Q4 7K/month</t>
        </is>
      </c>
      <c r="F86" s="2" t="inlineStr">
        <is>
          <t>Amazon Best Sellers</t>
        </is>
      </c>
      <c r="G86" s="2" t="inlineStr">
        <is>
          <t>https://www.asinsight.com/report/US/pink-tumbler-with-straw</t>
        </is>
      </c>
      <c r="H86" s="2" t="inlineStr">
        <is>
          <t>mid-2026 (June-July)</t>
        </is>
      </c>
      <c r="I86" s="2" t="inlineStr">
        <is>
          <t>seen in snippet</t>
        </is>
      </c>
      <c r="J86" s="2" t="inlineStr">
        <is>
          <t>Amazon Best Sellers: Amazon search 'pink 40 oz tumbler with handle': TaroKitc 40 oz pink tumbler with handle &amp; straw 100+ bought in past month; 'hot pink 40 oz tumbler with handle' listings 100+ bought in past month; another listing 50+ bought at $33.75 (https://www.amazon.com/pink-40-oz-tumbler-handle/s?k=pink+40+oz+tumbler+with+handle) | TikTok Shop: '40oz Pink Checkmate Tumbler by no brand, insulated with handle' listing live on TikTok Shop (sold count not in snippet) (https://shop.tiktok.com/us/pdp/40oz-pink-checkmate-tumbler-by-no-brand-insulated-with-handle/1729540851089379417)</t>
        </is>
      </c>
      <c r="K86" s="2" t="inlineStr">
        <is>
          <t>Amazon $33.75 seen on one listing; generic pink 40 oz tumblers B0C338XTYN / B0D5C3F3CQ (price not in snippet)</t>
        </is>
      </c>
      <c r="L86" s="2" t="inlineStr">
        <is>
          <t>unknown (CJ listing price not in snippet)</t>
        </is>
      </c>
      <c r="M86" s="2" t="inlineStr">
        <is>
          <t>note: sell as generic 40 oz tumbler; never reference Stanley in copy. Avoid 'Barbie pink' wording.</t>
        </is>
      </c>
      <c r="N86" s="2" t="inlineStr">
        <is>
          <t>none</t>
        </is>
      </c>
      <c r="O86" s="2" t="inlineStr">
        <is>
          <t>The desk-side status object of the corporate girlie; pink handle tumbler is the most-saved prop in pink desk flat lays.</t>
        </is>
      </c>
      <c r="P86" s="2" t="inlineStr">
        <is>
          <t>BANK Q11</t>
        </is>
      </c>
      <c r="Q86" s="2" t="inlineStr"/>
    </row>
    <row r="87">
      <c r="A87" s="3" t="inlineStr">
        <is>
          <t>C086</t>
        </is>
      </c>
      <c r="B87" s="3" t="inlineStr">
        <is>
          <t>Pink 40 oz tumbler accessories kit (bow straw topper, letter charms, silicone boot)</t>
        </is>
      </c>
      <c r="C87" s="3" t="inlineStr">
        <is>
          <t>workwear-office</t>
        </is>
      </c>
      <c r="D87" s="3" t="inlineStr">
        <is>
          <t>Pink desk essentials / coquette office</t>
        </is>
      </c>
      <c r="E87" s="3" t="inlineStr">
        <is>
          <t>AliExpress listing '10pcs Tumbler Accessories Set for 40oz &amp; 30oz Cup with Handle, Coquette Pink Bow Letter Charm Decoration Kit' live (order count not in snippet)</t>
        </is>
      </c>
      <c r="F87" s="3" t="inlineStr">
        <is>
          <t>AliExpress</t>
        </is>
      </c>
      <c r="G87" s="3" t="inlineStr">
        <is>
          <t>https://www.aliexpress.us/item/3256811930830810.html</t>
        </is>
      </c>
      <c r="H87" s="3" t="inlineStr">
        <is>
          <t>seen 27 Sep 2026</t>
        </is>
      </c>
      <c r="I87" s="3" t="inlineStr">
        <is>
          <t>unverified: order count not in snippet</t>
        </is>
      </c>
      <c r="J87" s="3" t="inlineStr">
        <is>
          <t>TikTok Shop: 'Pink Cup Accessories Set ... Letter Charms, Bow &amp; Diamond Straw Covers, Glitter Silicone Boot' listing live on TikTok Shop (sold count not in snippet) (https://shop.tiktok.com/us/pdp/pink-cup-accessories-set-for-stanley-tumblers-letters-more/1732274648812983202)</t>
        </is>
      </c>
      <c r="K87" s="3" t="inlineStr">
        <is>
          <t>unknown</t>
        </is>
      </c>
      <c r="L87" s="3" t="inlineStr">
        <is>
          <t>unknown</t>
        </is>
      </c>
      <c r="M87" s="3" t="inlineStr">
        <is>
          <t>note: many listings name Stanley in the title; must be listed as 'fits 40 oz handle tumblers' with no brand name</t>
        </is>
      </c>
      <c r="N87" s="3" t="inlineStr">
        <is>
          <t>none</t>
        </is>
      </c>
      <c r="O87" s="3" t="inlineStr">
        <is>
          <t>Bow-and-pearl charms make a plain tumbler match the pink desk; tiny, giftable, high margin.</t>
        </is>
      </c>
      <c r="P87" s="3" t="inlineStr">
        <is>
          <t>REJECT</t>
        </is>
      </c>
      <c r="Q87" s="3" t="inlineStr">
        <is>
          <t>Numeric signal exists but weaker than the 40 kept, or it duplicates a kept product in the same look.</t>
        </is>
      </c>
    </row>
    <row r="88">
      <c r="A88" s="2" t="inlineStr">
        <is>
          <t>C087</t>
        </is>
      </c>
      <c r="B88" s="2" t="inlineStr">
        <is>
          <t>Pink laptop sleeve 13-14 inch (neoprene or faux-leather with bow)</t>
        </is>
      </c>
      <c r="C88" s="2" t="inlineStr">
        <is>
          <t>workwear-office</t>
        </is>
      </c>
      <c r="D88" s="2" t="inlineStr">
        <is>
          <t>Legally Blonde work bag essentials / pink office carry</t>
        </is>
      </c>
      <c r="E88" s="2" t="inlineStr">
        <is>
          <t>ASINsight 'pink computer case' report: #1 ASIN B0GSR7CXX5 est. 2,000 monthly sales, up 100.0% MoM; top-10 range 200-2,000 monthly sales</t>
        </is>
      </c>
      <c r="F88" s="2" t="inlineStr">
        <is>
          <t>Amazon Best Sellers</t>
        </is>
      </c>
      <c r="G88" s="2" t="inlineStr">
        <is>
          <t>https://www.asinsight.com/report/US/pink-computer-case</t>
        </is>
      </c>
      <c r="H88" s="2" t="inlineStr">
        <is>
          <t>mid-2026</t>
        </is>
      </c>
      <c r="I88" s="2" t="inlineStr">
        <is>
          <t>seen in snippet</t>
        </is>
      </c>
      <c r="J88" s="2" t="inlineStr">
        <is>
          <t>Amazon Best Sellers: MOSISO 13.3 in neoprene laptop sleeve, Baby Pink (B01EY70LZ8) 2K+ bought in past month; Cute Kawaii Pink Bow faux-leather 13 in sleeve (B0DJVSL32H) 200+ bought in past month; BAGSMART 13-14 in sleeve 1K+ bought in past month (https://www.amazon.com/pink-laptop-case-13-inch/s?k=pink+laptop+case+13+inch) | TikTok Shop: 'pink macbook air 13 inch case' keyword page: listing 96 sold at $12.17 (-39%, was $19.96); '15.6 inch laptop case pink' 15 sold at $10.69 (https://shop.tiktok.com/us/k/pink-macbook-air-13-inch-case)</t>
        </is>
      </c>
      <c r="K88" s="2" t="inlineStr">
        <is>
          <t>TikTok Shop $10.69-$19.96; Amazon puffy pink sleeve $35.71 (TikTok Shop Five Season Home listing)</t>
        </is>
      </c>
      <c r="L88" s="2" t="inlineStr">
        <is>
          <t>unknown</t>
        </is>
      </c>
      <c r="M88" s="2" t="inlineStr">
        <is>
          <t>note: do not use 'MacBook' or Apple marks in listing title; say 'fits 13-14 inch laptops'</t>
        </is>
      </c>
      <c r="N88" s="2" t="inlineStr">
        <is>
          <t>none</t>
        </is>
      </c>
      <c r="O88" s="2" t="inlineStr">
        <is>
          <t>The pink bow sleeve is the first thing visible when she pulls her laptop out in a meeting; pure aesthetic signalling.</t>
        </is>
      </c>
      <c r="P88" s="2" t="inlineStr">
        <is>
          <t>BANK E06</t>
        </is>
      </c>
      <c r="Q88" s="2" t="inlineStr"/>
    </row>
    <row r="89">
      <c r="A89" s="2" t="inlineStr">
        <is>
          <t>C088</t>
        </is>
      </c>
      <c r="B89" s="2" t="inlineStr">
        <is>
          <t>Pink puffer / quilted work tote (fits 15.6 inch laptop)</t>
        </is>
      </c>
      <c r="C89" s="2" t="inlineStr">
        <is>
          <t>workwear-office</t>
        </is>
      </c>
      <c r="D89" s="2" t="inlineStr">
        <is>
          <t>Legally Blonde work bag essentials</t>
        </is>
      </c>
      <c r="E89" s="2" t="inlineStr">
        <is>
          <t>ASINsight 'pink puffer tote bag' report: #1 ASIN B0CKYZWDPT 7K monthly sales; B0CS2R1S1B 2K/month; B0DHYZ2GFK 2K/month and fastest growing at +100.0% MoM</t>
        </is>
      </c>
      <c r="F89" s="2" t="inlineStr">
        <is>
          <t>Amazon Best Sellers</t>
        </is>
      </c>
      <c r="G89" s="2" t="inlineStr">
        <is>
          <t>https://www.asinsight.com/report/US/pink-puffer-tote-bag</t>
        </is>
      </c>
      <c r="H89" s="2" t="inlineStr">
        <is>
          <t>mid-2026</t>
        </is>
      </c>
      <c r="I89" s="2" t="inlineStr">
        <is>
          <t>seen in snippet</t>
        </is>
      </c>
      <c r="J89" s="2" t="inlineStr">
        <is>
          <t>Amazon Best Sellers: Amazon 'pink laptop tote bag' search: women's tote listing 1K+ bought in past month; laptop tote for women 500+ bought in past month; travel tote 3K+ bought in past month (https://www.amazon.com/pink-laptop-tote-bag/s?k=pink+laptop+tote+bag)</t>
        </is>
      </c>
      <c r="K89" s="2" t="inlineStr">
        <is>
          <t>unknown (LOVEVOOK pink 15.6 in leather laptop tote B08QZK3NT2 is the reference listing; price not in snippet)</t>
        </is>
      </c>
      <c r="L89" s="2" t="inlineStr">
        <is>
          <t>unknown</t>
        </is>
      </c>
      <c r="M89" s="2" t="inlineStr">
        <is>
          <t>none (avoid quilted patterns that copy Chanel-style trade dress)</t>
        </is>
      </c>
      <c r="N89" s="2" t="inlineStr">
        <is>
          <t>none</t>
        </is>
      </c>
      <c r="O89" s="2" t="inlineStr">
        <is>
          <t>A pink bag big enough for a laptop is the hero of every 'what's in my work bag' pin.</t>
        </is>
      </c>
      <c r="P89" s="2" t="inlineStr">
        <is>
          <t>BANK E07</t>
        </is>
      </c>
      <c r="Q89" s="2" t="inlineStr"/>
    </row>
    <row r="90">
      <c r="A90" s="2" t="inlineStr">
        <is>
          <t>C089</t>
        </is>
      </c>
      <c r="B90" s="2" t="inlineStr">
        <is>
          <t>Pink wooden monitor stand riser with storage drawer (no electronics)</t>
        </is>
      </c>
      <c r="C90" s="2" t="inlineStr">
        <is>
          <t>workwear-office</t>
        </is>
      </c>
      <c r="D90" s="2" t="inlineStr">
        <is>
          <t>The Law School Desk Setup, All Pink</t>
        </is>
      </c>
      <c r="E90" s="2" t="inlineStr">
        <is>
          <t>TEAMIX Pink Monitor Stand Riser, wood with storage (B0CB2YKYST) 50+ bought in past month; 'monitor stand riser wood' category 500+ bought in past month</t>
        </is>
      </c>
      <c r="F90" s="2" t="inlineStr">
        <is>
          <t>Amazon Best Sellers</t>
        </is>
      </c>
      <c r="G90" s="2" t="inlineStr">
        <is>
          <t>https://www.amazon.com/TEAMIX-Monitor-Storage-Computer-Pink-14-2/dp/B0CB2YKYST</t>
        </is>
      </c>
      <c r="H90" s="2" t="inlineStr">
        <is>
          <t>seen 27 Sep 2026</t>
        </is>
      </c>
      <c r="I90" s="2" t="inlineStr">
        <is>
          <t>seen in snippet</t>
        </is>
      </c>
      <c r="J90" s="2" t="inlineStr"/>
      <c r="K90" s="2" t="inlineStr">
        <is>
          <t>unknown (Amazon TEAMIX B0CB2YKYST and 2-pack B09GN1CS6Q; price not in snippet)</t>
        </is>
      </c>
      <c r="L90" s="2" t="inlineStr">
        <is>
          <t>AliExpress 'Pink Cute Monitor Stand Desktop Storage Wood Bracket' US$30.50 (32% off) https://www.aliexpress.com/item/1005002392658404.html</t>
        </is>
      </c>
      <c r="M90" s="2" t="inlineStr">
        <is>
          <t>none</t>
        </is>
      </c>
      <c r="N90" s="2" t="inlineStr">
        <is>
          <t>none</t>
        </is>
      </c>
      <c r="O90" s="2" t="inlineStr">
        <is>
          <t>Lifts the monitor and hides cables, and the pink shelf becomes the styling plinth for the whole desk.</t>
        </is>
      </c>
      <c r="P90" s="2" t="inlineStr">
        <is>
          <t>BANK E05</t>
        </is>
      </c>
      <c r="Q90" s="2" t="inlineStr"/>
    </row>
    <row r="91">
      <c r="A91" s="2" t="inlineStr">
        <is>
          <t>C090</t>
        </is>
      </c>
      <c r="B91" s="2" t="inlineStr">
        <is>
          <t>Pink aesthetic sticky notes / transparent sticky note set</t>
        </is>
      </c>
      <c r="C91" s="2" t="inlineStr">
        <is>
          <t>workwear-office</t>
        </is>
      </c>
      <c r="D91" s="2" t="inlineStr">
        <is>
          <t>The Law School Desk Setup, All Pink / study desk essentials</t>
        </is>
      </c>
      <c r="E91" s="2" t="inlineStr">
        <is>
          <t>Amazon 'pink sticky notes' vintage-aesthetic listing 200+ bought in past month; 'pink sticky note set' 200+ bought in past month (lowest price in 30 days); 'aesthetic sticky notes set' 300+ bought in past month</t>
        </is>
      </c>
      <c r="F91" s="2" t="inlineStr">
        <is>
          <t>Amazon Best Sellers</t>
        </is>
      </c>
      <c r="G91" s="2" t="inlineStr">
        <is>
          <t>https://www.amazon.com/pink-sticky-note-set/s?k=pink+sticky+note+set</t>
        </is>
      </c>
      <c r="H91" s="2" t="inlineStr">
        <is>
          <t>seen 27 Sep 2026</t>
        </is>
      </c>
      <c r="I91" s="2" t="inlineStr">
        <is>
          <t>seen in snippet</t>
        </is>
      </c>
      <c r="J91" s="2" t="inlineStr">
        <is>
          <t>other: Eprolo 'Top Selling Items on TikTok 2026' lists gel pen sets, highlighter sets and budget planner notebooks as trending office supplies (no number) (https://eprolo.com/top-selling-items-on-tiktok)</t>
        </is>
      </c>
      <c r="K91" s="2" t="inlineStr">
        <is>
          <t>unknown</t>
        </is>
      </c>
      <c r="L91" s="2" t="inlineStr">
        <is>
          <t>unknown</t>
        </is>
      </c>
      <c r="M91" s="2" t="inlineStr">
        <is>
          <t>note: avoid 'Post-it' in copy</t>
        </is>
      </c>
      <c r="N91" s="2" t="inlineStr">
        <is>
          <t>none</t>
        </is>
      </c>
      <c r="O91" s="2" t="inlineStr">
        <is>
          <t>Low-cost add-on that fills the frame of the pink desk flat lay; bundles with the desk set.</t>
        </is>
      </c>
      <c r="P91" s="2" t="inlineStr">
        <is>
          <t>BANK E04</t>
        </is>
      </c>
      <c r="Q91" s="2" t="inlineStr"/>
    </row>
    <row r="92">
      <c r="A92" s="3" t="inlineStr">
        <is>
          <t>C091</t>
        </is>
      </c>
      <c r="B92" s="3" t="inlineStr">
        <is>
          <t>Pink knit cardigan (office layer, oversized or wrap style)</t>
        </is>
      </c>
      <c r="C92" s="3" t="inlineStr">
        <is>
          <t>workwear-office</t>
        </is>
      </c>
      <c r="D92" s="3" t="inlineStr">
        <is>
          <t>Legally Blonde Outfits | Pink Amazon Fashion</t>
        </is>
      </c>
      <c r="E92" s="3" t="inlineStr">
        <is>
          <t>Keyword page 'style pink cardigan' shows products with sold counts from 23 to 40.8K sold</t>
        </is>
      </c>
      <c r="F92" s="3" t="inlineStr">
        <is>
          <t>TikTok Shop</t>
        </is>
      </c>
      <c r="G92" s="3" t="inlineStr">
        <is>
          <t>https://shop.tiktok.com/us/k/style-pink-cardigan</t>
        </is>
      </c>
      <c r="H92" s="3" t="inlineStr">
        <is>
          <t>seen 27 Sep 2026</t>
        </is>
      </c>
      <c r="I92" s="3" t="inlineStr">
        <is>
          <t>seen in snippet</t>
        </is>
      </c>
      <c r="J92" s="3" t="inlineStr">
        <is>
          <t>TikTok Shop: Keyword page 'pink cardigan oversized' listings 9 to 321 sold, prices from $18.99; 'plus size womens clothing pink cardigan' 3 to 261 sold, from about $16-$54 (https://shop.tiktok.com/us/k/pink-cardigan-oversized)</t>
        </is>
      </c>
      <c r="K92" s="3" t="inlineStr">
        <is>
          <t>TikTok Shop from $18.99 (oversized) to about $54 (plus size)</t>
        </is>
      </c>
      <c r="L92" s="3" t="inlineStr">
        <is>
          <t>unknown</t>
        </is>
      </c>
      <c r="M92" s="3" t="inlineStr">
        <is>
          <t>none</t>
        </is>
      </c>
      <c r="N92" s="3" t="inlineStr">
        <is>
          <t>none</t>
        </is>
      </c>
      <c r="O92" s="3" t="inlineStr">
        <is>
          <t>The over-the-shoulder pink cardigan is the office uniform of the Legally Blonde outfit board.</t>
        </is>
      </c>
      <c r="P92" s="3" t="inlineStr">
        <is>
          <t>REJECT</t>
        </is>
      </c>
      <c r="Q92" s="3" t="inlineStr">
        <is>
          <t>Sized apparel: returns run well above the 8% allowance and Tommy Kate cannot wear blazers; kept for the Amazon pipeline, not the store.</t>
        </is>
      </c>
    </row>
    <row r="93">
      <c r="A93" s="3" t="inlineStr">
        <is>
          <t>C092</t>
        </is>
      </c>
      <c r="B93" s="3" t="inlineStr">
        <is>
          <t>Pink cropped blazer</t>
        </is>
      </c>
      <c r="C93" s="3" t="inlineStr">
        <is>
          <t>workwear-office</t>
        </is>
      </c>
      <c r="D93" s="3" t="inlineStr">
        <is>
          <t>Legally Blonde Outfits | Pink Amazon Fashion</t>
        </is>
      </c>
      <c r="E93" s="3" t="inlineStr">
        <is>
          <t>Keyword page 'pink crop blazer outfits' shows listing with 130 sold; 'bright pink blazer plus size' listings 4 to 17 sold</t>
        </is>
      </c>
      <c r="F93" s="3" t="inlineStr">
        <is>
          <t>TikTok Shop</t>
        </is>
      </c>
      <c r="G93" s="3" t="inlineStr">
        <is>
          <t>https://shop.tiktok.com/us/k/pink-crop-blazer-outfits</t>
        </is>
      </c>
      <c r="H93" s="3" t="inlineStr">
        <is>
          <t>seen 27 Sep 2026</t>
        </is>
      </c>
      <c r="I93" s="3" t="inlineStr">
        <is>
          <t>seen in snippet</t>
        </is>
      </c>
      <c r="J93" s="3" t="inlineStr"/>
      <c r="K93" s="3" t="inlineStr">
        <is>
          <t>unknown</t>
        </is>
      </c>
      <c r="L93" s="3" t="inlineStr">
        <is>
          <t>unknown</t>
        </is>
      </c>
      <c r="M93" s="3" t="inlineStr">
        <is>
          <t>none</t>
        </is>
      </c>
      <c r="N93" s="3" t="inlineStr">
        <is>
          <t>none</t>
        </is>
      </c>
      <c r="O93" s="3" t="inlineStr">
        <is>
          <t>Hot pink blazer over white is the single most-saved 'Elle Woods at work' outfit image.</t>
        </is>
      </c>
      <c r="P93" s="3" t="inlineStr">
        <is>
          <t>REJECT</t>
        </is>
      </c>
      <c r="Q93" s="3" t="inlineStr">
        <is>
          <t>Sized apparel: returns run well above the 8% allowance and Tommy Kate cannot wear blazers; kept for the Amazon pipeline, not the store.</t>
        </is>
      </c>
    </row>
    <row r="94">
      <c r="A94" s="3" t="inlineStr">
        <is>
          <t>C093</t>
        </is>
      </c>
      <c r="B94" s="3" t="inlineStr">
        <is>
          <t>Pink 2026 planner / mini weekly planner with PU leather cover</t>
        </is>
      </c>
      <c r="C94" s="3" t="inlineStr">
        <is>
          <t>workwear-office</t>
        </is>
      </c>
      <c r="D94" s="3" t="inlineStr">
        <is>
          <t>The Law School Desk Setup, All Pink</t>
        </is>
      </c>
      <c r="E94" s="3" t="inlineStr">
        <is>
          <t>'A7 Mini Weekly Planner 2026 with PU Leather Cover in Pink and Denim Blue' listing live on TikTok Shop (sold count not in snippet); 'BRAVE ELK 2026 Self-Discipline Calendar Planner' pink option shows 2 sold</t>
        </is>
      </c>
      <c r="F94" s="3" t="inlineStr">
        <is>
          <t>TikTok Shop</t>
        </is>
      </c>
      <c r="G94" s="3" t="inlineStr">
        <is>
          <t>https://shop.tiktok.com/us/pdp/a7-mini-weekly-planner-2026-128-seiten-pu-ledercover/1731486274887192749</t>
        </is>
      </c>
      <c r="H94" s="3" t="inlineStr">
        <is>
          <t>seen 27 Sep 2026</t>
        </is>
      </c>
      <c r="I94" s="3" t="inlineStr">
        <is>
          <t>seen in snippet (2 sold is weak)</t>
        </is>
      </c>
      <c r="J94" s="3" t="inlineStr">
        <is>
          <t>Etsy: Etsy market pages '2026 planner pink digital' and 'pink 2026 digital planner' exist with active listings (counts not in snippet) (https://www.etsy.com/market/pink_2026_digital_planner)</t>
        </is>
      </c>
      <c r="K94" s="3" t="inlineStr">
        <is>
          <t>unknown (Papier pink 2026 hardback planners are the premium reference https://www.papier.com/us/stationery/calendar-year-planners/pink)</t>
        </is>
      </c>
      <c r="L94" s="3" t="inlineStr">
        <is>
          <t>unknown</t>
        </is>
      </c>
      <c r="M94" s="3" t="inlineStr">
        <is>
          <t>none</t>
        </is>
      </c>
      <c r="N94" s="3" t="inlineStr">
        <is>
          <t>none</t>
        </is>
      </c>
      <c r="O94" s="3" t="inlineStr">
        <is>
          <t>Q4 is planner-buying season; a blush planner on the desk mat is the anchor of every 'reset' pin.</t>
        </is>
      </c>
      <c r="P94" s="3" t="inlineStr">
        <is>
          <t>REJECT</t>
        </is>
      </c>
      <c r="Q94" s="3" t="inlineStr">
        <is>
          <t>Numeric signal exists but weaker than the 40 kept, or it duplicates a kept product in the same look.</t>
        </is>
      </c>
    </row>
    <row r="95">
      <c r="A95" s="3" t="inlineStr">
        <is>
          <t>C094</t>
        </is>
      </c>
      <c r="B95" s="3" t="inlineStr">
        <is>
          <t>Pink leopard / pink glitter retractable badge reel with card holder</t>
        </is>
      </c>
      <c r="C95" s="3" t="inlineStr">
        <is>
          <t>workwear-office</t>
        </is>
      </c>
      <c r="D95" s="3" t="inlineStr">
        <is>
          <t>Pink office carry / corporate girlie lanyard</t>
        </is>
      </c>
      <c r="E95" s="3" t="inlineStr">
        <is>
          <t>'Fashionable Sliding Badge Holder Pink Leopard Print ... Retractable Badge Reel Carabiner &amp; Detachable Lanyard' listing live; DeColoresBadges pink glitter badge reel listing live (sold counts not in snippet)</t>
        </is>
      </c>
      <c r="F95" s="3" t="inlineStr">
        <is>
          <t>TikTok Shop</t>
        </is>
      </c>
      <c r="G95" s="3" t="inlineStr">
        <is>
          <t>https://shop.tiktok.com/us/pdp/pink-leopard-print-badge-holder-with-retractable-reel-lanyard/1732318703040892938</t>
        </is>
      </c>
      <c r="H95" s="3" t="inlineStr">
        <is>
          <t>seen 27 Sep 2026</t>
        </is>
      </c>
      <c r="I95" s="3" t="inlineStr">
        <is>
          <t>unverified: sold count not in snippet</t>
        </is>
      </c>
      <c r="J95" s="3" t="inlineStr"/>
      <c r="K95" s="3" t="inlineStr">
        <is>
          <t>unknown</t>
        </is>
      </c>
      <c r="L95" s="3" t="inlineStr">
        <is>
          <t>unknown</t>
        </is>
      </c>
      <c r="M95" s="3" t="inlineStr">
        <is>
          <t>note: many top badge reels are Diet Coke / soda-brand themed - hard reject those; keep to plain pink, bow, pearl, leopard</t>
        </is>
      </c>
      <c r="N95" s="3" t="inlineStr">
        <is>
          <t>none</t>
        </is>
      </c>
      <c r="O95" s="3" t="inlineStr">
        <is>
          <t>Nurses, teachers and office workers all wear one; a pink bow reel is the cheapest way to make the uniform girly.</t>
        </is>
      </c>
      <c r="P95" s="3" t="inlineStr">
        <is>
          <t>REJECT</t>
        </is>
      </c>
      <c r="Q95" s="3" t="inlineStr">
        <is>
          <t>No numeric signal found (listings exist, counts not visible in snippets).</t>
        </is>
      </c>
    </row>
    <row r="96">
      <c r="A96" s="3" t="inlineStr">
        <is>
          <t>C095</t>
        </is>
      </c>
      <c r="B96" s="3" t="inlineStr">
        <is>
          <t>Pink laptop stand (aluminium or acrylic riser, no electronics)</t>
        </is>
      </c>
      <c r="C96" s="3" t="inlineStr">
        <is>
          <t>workwear-office</t>
        </is>
      </c>
      <c r="D96" s="3" t="inlineStr">
        <is>
          <t>The Law School Desk Setup, All Pink</t>
        </is>
      </c>
      <c r="E96" s="3" t="inlineStr">
        <is>
          <t>ASINsight publishes dedicated 'pink laptop stand' and 'laptop stand pink' top-10 real-sales reports for 2026 (figures not in snippet)</t>
        </is>
      </c>
      <c r="F96" s="3" t="inlineStr">
        <is>
          <t>Amazon Best Sellers</t>
        </is>
      </c>
      <c r="G96" s="3" t="inlineStr">
        <is>
          <t>https://www.asinsight.com/report/US/pink-laptop-stand</t>
        </is>
      </c>
      <c r="H96" s="3" t="inlineStr">
        <is>
          <t>2026</t>
        </is>
      </c>
      <c r="I96" s="3" t="inlineStr">
        <is>
          <t>unverified: report exists, numbers not in snippet</t>
        </is>
      </c>
      <c r="J96" s="3" t="inlineStr"/>
      <c r="K96" s="3" t="inlineStr">
        <is>
          <t>unknown</t>
        </is>
      </c>
      <c r="L96" s="3" t="inlineStr">
        <is>
          <t>unknown</t>
        </is>
      </c>
      <c r="M96" s="3" t="inlineStr">
        <is>
          <t>none</t>
        </is>
      </c>
      <c r="N96" s="3" t="inlineStr">
        <is>
          <t>none</t>
        </is>
      </c>
      <c r="O96" s="3" t="inlineStr">
        <is>
          <t>Raises the laptop into the frame of the desk photo and matches the pink monitor riser.</t>
        </is>
      </c>
      <c r="P96" s="3" t="inlineStr">
        <is>
          <t>REJECT</t>
        </is>
      </c>
      <c r="Q96" s="3" t="inlineStr">
        <is>
          <t>Numeric signal exists but weaker than the 40 kept, or it duplicates a kept product in the same look.</t>
        </is>
      </c>
    </row>
    <row r="97">
      <c r="A97" s="3" t="inlineStr">
        <is>
          <t>C096</t>
        </is>
      </c>
      <c r="B97" s="3" t="inlineStr">
        <is>
          <t>Pink office / pink desk aesthetic (category-level demand signal, use for list titles)</t>
        </is>
      </c>
      <c r="C97" s="3" t="inlineStr">
        <is>
          <t>workwear-office</t>
        </is>
      </c>
      <c r="D97" s="3" t="inlineStr">
        <is>
          <t>The Law School Desk Setup, All Pink</t>
        </is>
      </c>
      <c r="E97" s="3" t="inlineStr">
        <is>
          <t>TikTok tag #pinkoffice: 10.7M posts</t>
        </is>
      </c>
      <c r="F97" s="3" t="inlineStr">
        <is>
          <t>other</t>
        </is>
      </c>
      <c r="G97" s="3" t="inlineStr">
        <is>
          <t>https://www.tiktok.com/tag/pinkoffice?lang=en</t>
        </is>
      </c>
      <c r="H97" s="3" t="inlineStr">
        <is>
          <t>seen 27 Sep 2026</t>
        </is>
      </c>
      <c r="I97" s="3" t="inlineStr">
        <is>
          <t>seen in snippet</t>
        </is>
      </c>
      <c r="J97" s="3" t="inlineStr">
        <is>
          <t>Pinterest Predicts: Pinterest Predicts 2026 names 'vintage pink' (with 'moody blue') as a bold colour people want to personalise spaces with; report based on searches Sep 2024-Aug 2025 vs prior year (https://www.nbcnews.com/select/shopping/pinterest-predicts-2026-trend-report-rcna248706) | other: TikTok discover page 'Pink Reception Desk' shows 662.7K posts (https://www.tiktok.com/discover/pink-reception-desk)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none</t>
        </is>
      </c>
      <c r="N97" s="3" t="inlineStr">
        <is>
          <t>none</t>
        </is>
      </c>
      <c r="O97" s="3" t="inlineStr">
        <is>
          <t>Proves the aesthetic itself is a saved category; every product above should be pinned under this look.</t>
        </is>
      </c>
      <c r="P97" s="3" t="inlineStr">
        <is>
          <t>REJECT</t>
        </is>
      </c>
      <c r="Q97" s="3" t="inlineStr">
        <is>
          <t>Category signal only, used for look titles, not a product.</t>
        </is>
      </c>
    </row>
    <row r="98">
      <c r="A98" s="3" t="inlineStr">
        <is>
          <t>C097</t>
        </is>
      </c>
      <c r="B98" s="3" t="inlineStr">
        <is>
          <t>NO-SIGNAL SECTION: pink loafers; satin padded pink headband; pearl hair claw / pearl bow clip; pink wide-leg work trousers; pink insulated bottle (non-40oz); pink acrylic file holder / magazine rack; pink highlighter set; pink hardcover notebook / journal; pink pen cup alone; certified pink keyboard/mouse; certified plug-in pink desk lamp</t>
        </is>
      </c>
      <c r="C98" s="3" t="inlineStr">
        <is>
          <t>workwear-office</t>
        </is>
      </c>
      <c r="D98" s="3" t="inlineStr">
        <is>
          <t>Legally Blonde Outfits | Pink Amazon Fashion / The Law School Desk Setup, All Pink</t>
        </is>
      </c>
      <c r="E98" s="3" t="inlineStr">
        <is>
          <t>No numeric signal captured: session web-search budget hit its cap (200/200 shared) before these queries ran. Lead should run: site:shop.tiktok.com [item] sold; asinsight.com/report/US/pink-[item]; Amazon 'bought in past month'</t>
        </is>
      </c>
      <c r="F98" s="3" t="inlineStr">
        <is>
          <t>other</t>
        </is>
      </c>
      <c r="G98" s="3" t="inlineStr"/>
      <c r="H98" s="3" t="inlineStr">
        <is>
          <t>27 Sep 2026</t>
        </is>
      </c>
      <c r="I98" s="3" t="inlineStr">
        <is>
          <t>unverified: not searched</t>
        </is>
      </c>
      <c r="J98" s="3" t="inlineStr"/>
      <c r="K98" s="3" t="inlineStr">
        <is>
          <t>unknown</t>
        </is>
      </c>
      <c r="L98" s="3" t="inlineStr">
        <is>
          <t>unknown</t>
        </is>
      </c>
      <c r="M98" s="3" t="inlineStr">
        <is>
          <t>none expected; keyboard/mouse/lamp need UL/ETL/FCC proof before listing</t>
        </is>
      </c>
      <c r="N98" s="3" t="inlineStr">
        <is>
          <t>keyboard/mouse/lamp are electronics - prefer none per brief</t>
        </is>
      </c>
      <c r="O98" s="3" t="inlineStr">
        <is>
          <t>Placeholder so the lead can decide whether to research these separately.</t>
        </is>
      </c>
      <c r="P98" s="3" t="inlineStr">
        <is>
          <t>REJECT</t>
        </is>
      </c>
      <c r="Q98" s="3" t="inlineStr">
        <is>
          <t>No numeric signal found before the search budget ran out (no signal, no product).</t>
        </is>
      </c>
    </row>
    <row r="99">
      <c r="A99" s="2" t="inlineStr">
        <is>
          <t>C098</t>
        </is>
      </c>
      <c r="B99" s="2" t="inlineStr">
        <is>
          <t>Pink velvet Christmas tree bows (set of 8-12, wired, for tree tips and garland)</t>
        </is>
      </c>
      <c r="C99" s="2" t="inlineStr">
        <is>
          <t>seasonal-christmas</t>
        </is>
      </c>
      <c r="D99" s="2" t="inlineStr">
        <is>
          <t>Pink Christmas tree decor list</t>
        </is>
      </c>
      <c r="E99" s="2" t="inlineStr">
        <is>
          <t>Pinterest reports searches for 'Red bow Christmas tree' rising by 200% compared to this time last year (bow-tree trend; colour reported was red, not pink)</t>
        </is>
      </c>
      <c r="F99" s="2" t="inlineStr">
        <is>
          <t>Pinterest Trends</t>
        </is>
      </c>
      <c r="G99" s="2" t="inlineStr">
        <is>
          <t>https://www.idealhome.co.uk/all-rooms/the-updated-christmas-bow-trend-2025</t>
        </is>
      </c>
      <c r="H99" s="2" t="inlineStr">
        <is>
          <t>Christmas 2025 season article (2025)</t>
        </is>
      </c>
      <c r="I99" s="2" t="inlineStr">
        <is>
          <t>seen in snippet; attribution to the Ideal Home article among the result set could not be confirmed, WebFetch blocked</t>
        </is>
      </c>
      <c r="J99" s="2" t="inlineStr">
        <is>
          <t>Etsy: On Etsy, handmade satin bows have become top-selling seasonal items, with 'velvet Christmas bow set' searches up more than 120% year-over-year (https://pbfulfill.com/blogs/product-recommendation/bow-christmas) | TikTok Shop: 8 Pcs Pink/Silver Velvet Christmas Bows listing, $52.00 + $6.68 shipping, 0 sold, seller Cottage &amp; Calm (price ceiling / competition gap signal, not demand) (https://shop.tiktok.com/us/pdp/8-piece-pink-silver-velvet-christmas-bows-for-tree-gifts/1732139822586630370) | other: Trend commentary: 'rising demand for bows as statement elements, particularly in pink and oversized designs' (no number) (https://www.accio.com/business/bow_christmas_tree_trend)</t>
        </is>
      </c>
      <c r="K99" s="2" t="inlineStr">
        <is>
          <t>$52 for an 8-pc pink/silver velvet set on TikTok Shop (0 sold, likely overpriced); Amazon/Etsy comparable sets not priced in snippets</t>
        </is>
      </c>
      <c r="L99" s="2" t="inlineStr">
        <is>
          <t>unknown</t>
        </is>
      </c>
      <c r="M99" s="2" t="inlineStr">
        <is>
          <t>none</t>
        </is>
      </c>
      <c r="N99" s="2" t="inlineStr">
        <is>
          <t>none</t>
        </is>
      </c>
      <c r="O99" s="2" t="inlineStr">
        <is>
          <t>The bow tree is the single most-saved Christmas tree look two years running; a pink velvet version is the girly upgrade every pink-home board wants.</t>
        </is>
      </c>
      <c r="P99" s="2" t="inlineStr">
        <is>
          <t>BANK Q06</t>
        </is>
      </c>
      <c r="Q99" s="2" t="inlineStr"/>
    </row>
    <row r="100">
      <c r="A100" s="2" t="inlineStr">
        <is>
          <t>C099</t>
        </is>
      </c>
      <c r="B100" s="2" t="inlineStr">
        <is>
          <t>Pink bow garland (linked satin/velvet bows on ribbon for mantel, tree or staircase)</t>
        </is>
      </c>
      <c r="C100" s="2" t="inlineStr">
        <is>
          <t>seasonal-christmas</t>
        </is>
      </c>
      <c r="D100" s="2" t="inlineStr">
        <is>
          <t>Pink Christmas tree decor list / Pink mantel</t>
        </is>
      </c>
      <c r="E100" s="2" t="inlineStr">
        <is>
          <t>'Red bow Christmas tree' searches +200% YoY (bow-everything trend; red colourway reported)</t>
        </is>
      </c>
      <c r="F100" s="2" t="inlineStr">
        <is>
          <t>Pinterest Trends</t>
        </is>
      </c>
      <c r="G100" s="2" t="inlineStr">
        <is>
          <t>https://www.idealhome.co.uk/all-rooms/the-updated-christmas-bow-trend-2025</t>
        </is>
      </c>
      <c r="H100" s="2" t="inlineStr">
        <is>
          <t>2025</t>
        </is>
      </c>
      <c r="I100" s="2" t="inlineStr">
        <is>
          <t>seen in snippet; article attribution unconfirmed</t>
        </is>
      </c>
      <c r="J100" s="2" t="inlineStr">
        <is>
          <t>Etsy: 'velvet Christmas bow set' searches up more than 120% YoY (https://pbfulfill.com/blogs/product-recommendation/bow-christmas) | TikTok Shop: '78.74 Inch Christmas Vine Decoration Set, Garland Ribbon, Bow' product page exists (no sold count visible in snippet) (https://shop.tiktok.com/us/pdp/78-74-inch-christmas-vine-decoration-set-garland-ribbon-bow/1732042411117678871)</t>
        </is>
      </c>
      <c r="K100" s="2" t="inlineStr">
        <is>
          <t>unknown</t>
        </is>
      </c>
      <c r="L100" s="2" t="inlineStr">
        <is>
          <t>unknown</t>
        </is>
      </c>
      <c r="M100" s="2" t="inlineStr">
        <is>
          <t>none</t>
        </is>
      </c>
      <c r="N100" s="2" t="inlineStr">
        <is>
          <t>none</t>
        </is>
      </c>
      <c r="O100" s="2" t="inlineStr">
        <is>
          <t>One garland turns a plain mantel or staircase into the bow-core Christmas look; pink makes it a Pinkmas hero shot.</t>
        </is>
      </c>
      <c r="P100" s="2" t="inlineStr">
        <is>
          <t>BANK Q07</t>
        </is>
      </c>
      <c r="Q100" s="2" t="inlineStr"/>
    </row>
    <row r="101">
      <c r="A101" s="2" t="inlineStr">
        <is>
          <t>C100</t>
        </is>
      </c>
      <c r="B101" s="2" t="inlineStr">
        <is>
          <t>Fluffy pink bunny ears headband (Halloween / costume party)</t>
        </is>
      </c>
      <c r="C101" s="2" t="inlineStr">
        <is>
          <t>seasonal-halloween</t>
        </is>
      </c>
      <c r="D101" s="2" t="inlineStr">
        <is>
          <t>Pink Halloween costume accessories list (cat ears, bunny ears, cowgirl hats)</t>
        </is>
      </c>
      <c r="E101" s="2" t="inlineStr">
        <is>
          <t>'bunny fluffy ears' TikTok Shop keyword page shows a listing with 4.8K sold at $19.28</t>
        </is>
      </c>
      <c r="F101" s="2" t="inlineStr">
        <is>
          <t>TikTok Shop</t>
        </is>
      </c>
      <c r="G101" s="2" t="inlineStr">
        <is>
          <t>https://shop.tiktok.com/us/k/bunny-fluffy-ears</t>
        </is>
      </c>
      <c r="H101" s="2" t="inlineStr">
        <is>
          <t>seen 27 Sep 2026</t>
        </is>
      </c>
      <c r="I101" s="2" t="inlineStr">
        <is>
          <t>seen in snippet; colour of the 4.8K-sold variant not confirmed as pink</t>
        </is>
      </c>
      <c r="J101" s="2" t="inlineStr">
        <is>
          <t>TikTok Shop: 'kemonomimi bunny ears' listing 3 sold at $20.00 (comparison point) (https://shop.tiktok.com/us/k/kemonomimi-bunny-ears)</t>
        </is>
      </c>
      <c r="K101" s="2" t="inlineStr">
        <is>
          <t>$19.28 on TikTok Shop (4.8K sold listing); $20.00 comparable</t>
        </is>
      </c>
      <c r="L101" s="2" t="inlineStr">
        <is>
          <t>unknown</t>
        </is>
      </c>
      <c r="M101" s="2" t="inlineStr">
        <is>
          <t>none (generic bunny ears; avoid any Playboy-style bunny trade dress or Minnie/Hello Kitty ears which appeared in the same results)</t>
        </is>
      </c>
      <c r="N101" s="2" t="inlineStr">
        <is>
          <t>none</t>
        </is>
      </c>
      <c r="O101" s="2" t="inlineStr">
        <is>
          <t>Ten-second costume: fluffy pink ears plus a pink sequin dress is the easy 'pink Halloween' outfit pin for grown women.</t>
        </is>
      </c>
      <c r="P101" s="2" t="inlineStr">
        <is>
          <t>BANK Q01</t>
        </is>
      </c>
      <c r="Q101" s="2" t="inlineStr"/>
    </row>
    <row r="102">
      <c r="A102" s="3" t="inlineStr">
        <is>
          <t>C101</t>
        </is>
      </c>
      <c r="B102" s="3" t="inlineStr">
        <is>
          <t>Pink matching Christmas pajamas (women's / family sets, plain pink or pink candy-stripe)</t>
        </is>
      </c>
      <c r="C102" s="3" t="inlineStr">
        <is>
          <t>seasonal-christmas</t>
        </is>
      </c>
      <c r="D102" s="3" t="inlineStr">
        <is>
          <t>Pink Christmas morning / cozy list</t>
        </is>
      </c>
      <c r="E102" s="3" t="inlineStr">
        <is>
          <t>'funny matching christmas pyjamas' keyword page shows a 'Sparkle In Pink' set with 32 sold</t>
        </is>
      </c>
      <c r="F102" s="3" t="inlineStr">
        <is>
          <t>TikTok Shop</t>
        </is>
      </c>
      <c r="G102" s="3" t="inlineStr">
        <is>
          <t>https://shop.tiktok.com/us/k/funny-matching-christmas-pyjamas</t>
        </is>
      </c>
      <c r="H102" s="3" t="inlineStr">
        <is>
          <t>seen 27 Sep 2026 (pre-season)</t>
        </is>
      </c>
      <c r="I102" s="3" t="inlineStr">
        <is>
          <t>seen in snippet; small number, pre-season</t>
        </is>
      </c>
      <c r="J102" s="3" t="inlineStr"/>
      <c r="K102" s="3" t="inlineStr">
        <is>
          <t>unknown (price not in snippet)</t>
        </is>
      </c>
      <c r="L102" s="3" t="inlineStr">
        <is>
          <t>unknown</t>
        </is>
      </c>
      <c r="M102" s="3" t="inlineStr">
        <is>
          <t>none for plain pink; reject pink Grinch / Victoria's Secret PINK / Hello Kitty / My Melody versions that dominate the TikTok Shop keyword pages</t>
        </is>
      </c>
      <c r="N102" s="3" t="inlineStr">
        <is>
          <t>none</t>
        </is>
      </c>
      <c r="O102" s="3" t="inlineStr">
        <is>
          <t>Matching pink PJs are the Christmas-morning photo pin; most listings are licensed, so a clean unbranded pink set is a gap.</t>
        </is>
      </c>
      <c r="P102" s="3" t="inlineStr">
        <is>
          <t>REJECT</t>
        </is>
      </c>
      <c r="Q102" s="3" t="inlineStr">
        <is>
          <t>Sized apparel: returns run well above the 8% allowance and Tommy Kate cannot wear blazers; kept for the Amazon pipeline, not the store.</t>
        </is>
      </c>
    </row>
    <row r="103">
      <c r="A103" s="2" t="inlineStr">
        <is>
          <t>C102</t>
        </is>
      </c>
      <c r="B103" s="2" t="inlineStr">
        <is>
          <t>Pink shatterproof Christmas ornament set (45-50 pc mixed finish balls)</t>
        </is>
      </c>
      <c r="C103" s="2" t="inlineStr">
        <is>
          <t>seasonal-christmas</t>
        </is>
      </c>
      <c r="D103" s="2" t="inlineStr">
        <is>
          <t>Pink Christmas tree decor list</t>
        </is>
      </c>
      <c r="E103" s="2" t="inlineStr">
        <is>
          <t>VAINECHAY 45-pc shatterproof ornament set (pink colourway) surfaced under Amazon Best Sellers: Christmas Ornaments results (rank number not visible in snippet)</t>
        </is>
      </c>
      <c r="F103" s="2" t="inlineStr">
        <is>
          <t>Amazon Best Sellers</t>
        </is>
      </c>
      <c r="G103" s="2" t="inlineStr">
        <is>
          <t>https://www.amazon.com/VAINECHAY-Christmas-Tree-Decorations-Ornaments/dp/B0B3XHVJZC</t>
        </is>
      </c>
      <c r="H103" s="2" t="inlineStr">
        <is>
          <t>seen 27 Sep 2026</t>
        </is>
      </c>
      <c r="I103" s="2" t="inlineStr">
        <is>
          <t>unverified: rank not shown in snippet</t>
        </is>
      </c>
      <c r="J103" s="2" t="inlineStr">
        <is>
          <t>Etsy: Etsy Holiday 2025 Trend Edit names 'Pinkmas' as a season trend (no number in snippet) (https://www.etsy.com/news/the-etsy-trend-edit-holiday-2025athe-styles-and-gifts-defining-the-season-all-made-to-feel-uniquely-you) | AliExpress: AliExpress 'pink christmas ornaments balls' page reports 97 related results (https://www.aliexpress.com/popular/pink-christmas-ornaments-balls.html)</t>
        </is>
      </c>
      <c r="K103" s="2" t="inlineStr">
        <is>
          <t>unknown (Amazon price not in snippet); Etsy has '50 Hot Pink Glass Christmas Ornaments' bulk listing (ships from Ukraine), price not shown</t>
        </is>
      </c>
      <c r="L103" s="2" t="inlineStr">
        <is>
          <t>unknown</t>
        </is>
      </c>
      <c r="M103" s="2" t="inlineStr">
        <is>
          <t>none</t>
        </is>
      </c>
      <c r="N103" s="2" t="inlineStr">
        <is>
          <t>none</t>
        </is>
      </c>
      <c r="O103" s="2" t="inlineStr">
        <is>
          <t>The base layer of every pink tree pin; a one-box mixed-finish pink set is what a busy professional buys instead of curating 50 singles.</t>
        </is>
      </c>
      <c r="P103" s="2" t="inlineStr">
        <is>
          <t>BANK Q08</t>
        </is>
      </c>
      <c r="Q103" s="2" t="inlineStr"/>
    </row>
    <row r="104">
      <c r="A104" s="2" t="inlineStr">
        <is>
          <t>C103</t>
        </is>
      </c>
      <c r="B104" s="2" t="inlineStr">
        <is>
          <t>Pink velvet pumpkins (set of 3-6, blush/mauve, real or faux stems)</t>
        </is>
      </c>
      <c r="C104" s="2" t="inlineStr">
        <is>
          <t>seasonal-fall</t>
        </is>
      </c>
      <c r="D104" s="2" t="inlineStr">
        <is>
          <t>Pink fall / Pink Halloween coffee table list</t>
        </is>
      </c>
      <c r="E104" s="2" t="inlineStr">
        <is>
          <t>Multiple active listings: 'Set of 6 Pink Velvet Pumpkins' (2.75 in dia.), 'Set of 3 Beaded Pink Velvet Pumpkins' (real preserved stems), 'Handmade Velvet Pumpkins Pink &amp; White with Bows' listed 8 Feb 2026 (Ukraine); sales counts not visible in snippets</t>
        </is>
      </c>
      <c r="F104" s="2" t="inlineStr">
        <is>
          <t>Etsy</t>
        </is>
      </c>
      <c r="G104" s="2" t="inlineStr">
        <is>
          <t>https://www.etsy.com/listing/4362163374/set-of-6-pink-velvet-pumpkins-fall-party</t>
        </is>
      </c>
      <c r="H104" s="2" t="inlineStr">
        <is>
          <t>2026</t>
        </is>
      </c>
      <c r="I104" s="2" t="inlineStr">
        <is>
          <t>unverified: sales counts not in snippet</t>
        </is>
      </c>
      <c r="J104" s="2" t="inlineStr">
        <is>
          <t>other: Yahoo/design article: pink named 'the it color' of Halloween 2026; IKEA named 'Rebel Pink' its 2026 Color of the Year (qualitative) (https://shopping.yahoo.com/home-garden/home-decor/articles/designers-calling-color-halloween-2026-161017975.html)</t>
        </is>
      </c>
      <c r="K104" s="2" t="inlineStr">
        <is>
          <t>unknown</t>
        </is>
      </c>
      <c r="L104" s="2" t="inlineStr">
        <is>
          <t>unknown</t>
        </is>
      </c>
      <c r="M104" s="2" t="inlineStr">
        <is>
          <t>none</t>
        </is>
      </c>
      <c r="N104" s="2" t="inlineStr">
        <is>
          <t>none</t>
        </is>
      </c>
      <c r="O104" s="2" t="inlineStr">
        <is>
          <t>The pink velvet pumpkin is the fall flat-lay hero object; sits on a desk, mantel or console without reading 'Halloween'.</t>
        </is>
      </c>
      <c r="P104" s="2" t="inlineStr">
        <is>
          <t>BANK Q02</t>
        </is>
      </c>
      <c r="Q104" s="2" t="inlineStr"/>
    </row>
    <row r="105">
      <c r="A105" s="3" t="inlineStr">
        <is>
          <t>C104</t>
        </is>
      </c>
      <c r="B105" s="3" t="inlineStr">
        <is>
          <t>Pink bow pumpkin (resin or foam pumpkin with oversized satin bow)</t>
        </is>
      </c>
      <c r="C105" s="3" t="inlineStr">
        <is>
          <t>seasonal-halloween</t>
        </is>
      </c>
      <c r="D105" s="3" t="inlineStr">
        <is>
          <t>Pink Halloween coffee table / porch list</t>
        </is>
      </c>
      <c r="E105" s="3" t="inlineStr">
        <is>
          <t>Etsy market page 'Pink Pumpkin Bow' exists with 'many different types' of listings; no counts in snippet</t>
        </is>
      </c>
      <c r="F105" s="3" t="inlineStr">
        <is>
          <t>Etsy</t>
        </is>
      </c>
      <c r="G105" s="3" t="inlineStr">
        <is>
          <t>https://www.etsy.com/market/pink_pumpkin_bow</t>
        </is>
      </c>
      <c r="H105" s="3" t="inlineStr">
        <is>
          <t>seen 27 Sep 2026</t>
        </is>
      </c>
      <c r="I105" s="3" t="inlineStr">
        <is>
          <t>unverified: no number</t>
        </is>
      </c>
      <c r="J105" s="3" t="inlineStr">
        <is>
          <t>Amazon Best Sellers: Amazon search shows 'Resin Pink Bow Pumpkin Table Centerpiece' and 'Happy Fall Pink Bow Garland' listings (no rank/number) (https://www.amazon.com/Pink-Pumpkin-Decorations/s?k=Pink+Pumpkin+Decorations)</t>
        </is>
      </c>
      <c r="K105" s="3" t="inlineStr">
        <is>
          <t>unknown</t>
        </is>
      </c>
      <c r="L105" s="3" t="inlineStr">
        <is>
          <t>unknown</t>
        </is>
      </c>
      <c r="M105" s="3" t="inlineStr">
        <is>
          <t>none</t>
        </is>
      </c>
      <c r="N105" s="3" t="inlineStr">
        <is>
          <t>none</t>
        </is>
      </c>
      <c r="O105" s="3" t="inlineStr">
        <is>
          <t>Bow-core meets pumpkin: the one object that says 'coquette Halloween' in a single pin.</t>
        </is>
      </c>
      <c r="P105" s="3" t="inlineStr">
        <is>
          <t>REJECT</t>
        </is>
      </c>
      <c r="Q105" s="3" t="inlineStr">
        <is>
          <t>No numeric signal in any source (listings exist, counts not visible); Halloween order-by dates also fall before a store can be live.</t>
        </is>
      </c>
    </row>
    <row r="106">
      <c r="A106" s="3" t="inlineStr">
        <is>
          <t>C105</t>
        </is>
      </c>
      <c r="B106" s="3" t="inlineStr">
        <is>
          <t>Pink ghost hanging decor set (6-pack pastel ghosts / garland)</t>
        </is>
      </c>
      <c r="C106" s="3" t="inlineStr">
        <is>
          <t>seasonal-halloween</t>
        </is>
      </c>
      <c r="D106" s="3" t="inlineStr">
        <is>
          <t>Pink Halloween home decor list</t>
        </is>
      </c>
      <c r="E106" s="3" t="inlineStr">
        <is>
          <t>Temu lists '6-pack halloween hanging decorations - pink ghost' and a 'halloween decor' hub page; sold counts not in snippets</t>
        </is>
      </c>
      <c r="F106" s="3" t="inlineStr">
        <is>
          <t>Temu</t>
        </is>
      </c>
      <c r="G106" s="3" t="inlineStr">
        <is>
          <t>https://www.temu.com/6--halloween-hanging-----and--ornaments-for-halloween-----decor-suitable-for--and--14-g-601099583768402.html</t>
        </is>
      </c>
      <c r="H106" s="3" t="inlineStr">
        <is>
          <t>seen 27 Sep 2026</t>
        </is>
      </c>
      <c r="I106" s="3" t="inlineStr">
        <is>
          <t>unverified: no number</t>
        </is>
      </c>
      <c r="J106" s="3" t="inlineStr">
        <is>
          <t>TikTok Shop: 'pink ghost decor' TikTok Shop keyword page exists; results dominated by pink Ghostface (Scream) items which are licensed and rejected (https://shop.tiktok.com/us/k/pink-ghost-decor)</t>
        </is>
      </c>
      <c r="K106" s="3" t="inlineStr">
        <is>
          <t>unknown</t>
        </is>
      </c>
      <c r="L106" s="3" t="inlineStr">
        <is>
          <t>unknown</t>
        </is>
      </c>
      <c r="M106" s="3" t="inlineStr">
        <is>
          <t>note: avoid Ghostface/Scream-styled pink ghosts which fill the TikTok Shop results</t>
        </is>
      </c>
      <c r="N106" s="3" t="inlineStr">
        <is>
          <t>none</t>
        </is>
      </c>
      <c r="O106" s="3" t="inlineStr">
        <is>
          <t>Cute, not scary: a pastel ghost garland is the entry-level pink Halloween purchase for an apartment or office desk.</t>
        </is>
      </c>
      <c r="P106" s="3" t="inlineStr">
        <is>
          <t>REJECT</t>
        </is>
      </c>
      <c r="Q106" s="3" t="inlineStr">
        <is>
          <t>No numeric signal in any source (listings exist, counts not visible); Halloween order-by dates also fall before a store can be live.</t>
        </is>
      </c>
    </row>
    <row r="107">
      <c r="A107" s="3" t="inlineStr">
        <is>
          <t>C106</t>
        </is>
      </c>
      <c r="B107" s="3" t="inlineStr">
        <is>
          <t>Pink Halloween ghost doormat (coir, 'boo' or pink bow ghost)</t>
        </is>
      </c>
      <c r="C107" s="3" t="inlineStr">
        <is>
          <t>seasonal-halloween</t>
        </is>
      </c>
      <c r="D107" s="3" t="inlineStr">
        <is>
          <t>Pink Halloween porch list</t>
        </is>
      </c>
      <c r="E107" s="3" t="inlineStr">
        <is>
          <t>At least 8 distinct pink ghost/Halloween doormat listings live (sizes 16x24 / 18x30 / 24x36 in; 100% coir, silicone-treated); sales counts not in snippets. One listing uses 'Disneyland' in title (reject that one)</t>
        </is>
      </c>
      <c r="F107" s="3" t="inlineStr">
        <is>
          <t>Etsy</t>
        </is>
      </c>
      <c r="G107" s="3" t="inlineStr">
        <is>
          <t>https://www.etsy.com/listing/1541277918/pinkoween-decor-girly-halloween</t>
        </is>
      </c>
      <c r="H107" s="3" t="inlineStr">
        <is>
          <t>seen 27 Sep 2026</t>
        </is>
      </c>
      <c r="I107" s="3" t="inlineStr">
        <is>
          <t>unverified: sales counts not in snippet</t>
        </is>
      </c>
      <c r="J107" s="3" t="inlineStr"/>
      <c r="K107" s="3" t="inlineStr">
        <is>
          <t>unknown</t>
        </is>
      </c>
      <c r="L107" s="3" t="inlineStr">
        <is>
          <t>unknown</t>
        </is>
      </c>
      <c r="M107" s="3" t="inlineStr">
        <is>
          <t>none for generic ghost; reject Disney-referencing listings</t>
        </is>
      </c>
      <c r="N107" s="3" t="inlineStr">
        <is>
          <t>none</t>
        </is>
      </c>
      <c r="O107" s="3" t="inlineStr">
        <is>
          <t>Porch pins get saved for 'next year'; a pink ghost mat is the low-effort version of the pink porch.</t>
        </is>
      </c>
      <c r="P107" s="3" t="inlineStr">
        <is>
          <t>REJECT</t>
        </is>
      </c>
      <c r="Q107" s="3" t="inlineStr">
        <is>
          <t>No numeric signal in any source (listings exist, counts not visible); Halloween order-by dates also fall before a store can be live.</t>
        </is>
      </c>
    </row>
    <row r="108">
      <c r="A108" s="3" t="inlineStr">
        <is>
          <t>C107</t>
        </is>
      </c>
      <c r="B108" s="3" t="inlineStr">
        <is>
          <t>Pink ruffle / pastel ghost trick-or-treat bucket (adult 'candy bucket' or party bowl)</t>
        </is>
      </c>
      <c r="C108" s="3" t="inlineStr">
        <is>
          <t>seasonal-halloween</t>
        </is>
      </c>
      <c r="D108" s="3" t="inlineStr">
        <is>
          <t>Pink Halloween party list</t>
        </is>
      </c>
      <c r="E108" s="3" t="inlineStr">
        <is>
          <t>Listings: 'Pastel Pink Ghost Bucket with fringe', 'Personalized Pink Ruffle Halloween Candy Bucket' (10x9 in, folds flat, ships 7-9 business days); no sales numbers in snippet</t>
        </is>
      </c>
      <c r="F108" s="3" t="inlineStr">
        <is>
          <t>Etsy</t>
        </is>
      </c>
      <c r="G108" s="3" t="inlineStr">
        <is>
          <t>https://www.etsy.com/listing/1781103568/large-pastel-pink-ghost-trick-or-treat</t>
        </is>
      </c>
      <c r="H108" s="3" t="inlineStr">
        <is>
          <t>seen 27 Sep 2026</t>
        </is>
      </c>
      <c r="I108" s="3" t="inlineStr">
        <is>
          <t>unverified: no number</t>
        </is>
      </c>
      <c r="J108" s="3" t="inlineStr"/>
      <c r="K108" s="3" t="inlineStr">
        <is>
          <t>unknown</t>
        </is>
      </c>
      <c r="L108" s="3" t="inlineStr">
        <is>
          <t>unknown</t>
        </is>
      </c>
      <c r="M108" s="3" t="inlineStr">
        <is>
          <t>none</t>
        </is>
      </c>
      <c r="N108" s="3" t="inlineStr">
        <is>
          <t>none</t>
        </is>
      </c>
      <c r="O108" s="3" t="inlineStr">
        <is>
          <t>Doubles as a pink candy bowl for the office or front door; the fringe/ruffle version photographs like a handbag.</t>
        </is>
      </c>
      <c r="P108" s="3" t="inlineStr">
        <is>
          <t>REJECT</t>
        </is>
      </c>
      <c r="Q108" s="3" t="inlineStr">
        <is>
          <t>No numeric signal in any source (listings exist, counts not visible); Halloween order-by dates also fall before a store can be live.</t>
        </is>
      </c>
    </row>
    <row r="109">
      <c r="A109" s="3" t="inlineStr">
        <is>
          <t>C108</t>
        </is>
      </c>
      <c r="B109" s="3" t="inlineStr">
        <is>
          <t>Pink cat ears headband (fluffy or satin, with optional tail clip)</t>
        </is>
      </c>
      <c r="C109" s="3" t="inlineStr">
        <is>
          <t>seasonal-halloween</t>
        </is>
      </c>
      <c r="D109" s="3" t="inlineStr">
        <is>
          <t>Pink Halloween costume accessories list</t>
        </is>
      </c>
      <c r="E109" s="3" t="inlineStr">
        <is>
          <t>Keyword pages 'pink cat ears', 'pink cat ears and tail', 'fluffy cat ears', 'kitty ears headband' all live; sold counts not in snippets</t>
        </is>
      </c>
      <c r="F109" s="3" t="inlineStr">
        <is>
          <t>TikTok Shop</t>
        </is>
      </c>
      <c r="G109" s="3" t="inlineStr">
        <is>
          <t>https://shop.tiktok.com/us/k/pink-cat-ears</t>
        </is>
      </c>
      <c r="H109" s="3" t="inlineStr">
        <is>
          <t>seen 27 Sep 2026</t>
        </is>
      </c>
      <c r="I109" s="3" t="inlineStr">
        <is>
          <t>unverified: no number</t>
        </is>
      </c>
      <c r="J109" s="3" t="inlineStr"/>
      <c r="K109" s="3" t="inlineStr">
        <is>
          <t>unknown</t>
        </is>
      </c>
      <c r="L109" s="3" t="inlineStr">
        <is>
          <t>unknown</t>
        </is>
      </c>
      <c r="M109" s="3" t="inlineStr">
        <is>
          <t>none (reject Hello Kitty ears which appear in the same results)</t>
        </is>
      </c>
      <c r="N109" s="3" t="inlineStr">
        <is>
          <t>none (reject 'moving cat ear' battery versions unless certified)</t>
        </is>
      </c>
      <c r="O109" s="3" t="inlineStr">
        <is>
          <t>The other half of the ten-second costume; pairs with the 4.8K-sold fluffy ears demand seen for bunny ears.</t>
        </is>
      </c>
      <c r="P109" s="3" t="inlineStr">
        <is>
          <t>REJECT</t>
        </is>
      </c>
      <c r="Q109" s="3" t="inlineStr">
        <is>
          <t>No numeric signal in any source (listings exist, counts not visible); Halloween order-by dates also fall before a store can be live.</t>
        </is>
      </c>
    </row>
    <row r="110">
      <c r="A110" s="3" t="inlineStr">
        <is>
          <t>C109</t>
        </is>
      </c>
      <c r="B110" s="3" t="inlineStr">
        <is>
          <t>Pink cowgirl hat (felt or sequin, adult)</t>
        </is>
      </c>
      <c r="C110" s="3" t="inlineStr">
        <is>
          <t>seasonal-halloween</t>
        </is>
      </c>
      <c r="D110" s="3" t="inlineStr">
        <is>
          <t>Pink Halloween costume list (pink cowgirl / space cowgirl)</t>
        </is>
      </c>
      <c r="E110" s="3" t="inlineStr">
        <is>
          <t>Keyword pages 'pink cowgirl costumes', 'pink cowboy hat near me' live; TikTok discover pages 'the girl with the pink cowboy hat', 'cowgirl halloween costume ideas pink hat'; no sold counts or view counts in snippets</t>
        </is>
      </c>
      <c r="F110" s="3" t="inlineStr">
        <is>
          <t>TikTok Shop</t>
        </is>
      </c>
      <c r="G110" s="3" t="inlineStr">
        <is>
          <t>https://shop.tiktok.com/us/k/pink-cowgirl-costumes</t>
        </is>
      </c>
      <c r="H110" s="3" t="inlineStr">
        <is>
          <t>seen 27 Sep 2026</t>
        </is>
      </c>
      <c r="I110" s="3" t="inlineStr">
        <is>
          <t>unverified: no number</t>
        </is>
      </c>
      <c r="J110" s="3" t="inlineStr">
        <is>
          <t>other: Walmart has a dedicated 'Cowgirl Costume - Pink' browse node (assortment depth only) (https://www.walmart.com/browse/party-occasions/cowgirl-costume/pink/2637_1088766_7196689/Y29sb3I6UGluawieie)</t>
        </is>
      </c>
      <c r="K110" s="3" t="inlineStr">
        <is>
          <t>unknown</t>
        </is>
      </c>
      <c r="L110" s="3" t="inlineStr">
        <is>
          <t>unknown</t>
        </is>
      </c>
      <c r="M110" s="3" t="inlineStr">
        <is>
          <t>none (reject any 'Barbie cowgirl' phrasing)</t>
        </is>
      </c>
      <c r="N110" s="3" t="inlineStr">
        <is>
          <t>none</t>
        </is>
      </c>
      <c r="O110" s="3" t="inlineStr">
        <is>
          <t>Pink cowgirl is the repeat-winner group costume; the hat alone is the pin.</t>
        </is>
      </c>
      <c r="P110" s="3" t="inlineStr">
        <is>
          <t>REJECT</t>
        </is>
      </c>
      <c r="Q110" s="3" t="inlineStr">
        <is>
          <t>No numeric signal in any source (listings exist, counts not visible); Halloween order-by dates also fall before a store can be live.</t>
        </is>
      </c>
    </row>
    <row r="111">
      <c r="A111" s="3" t="inlineStr">
        <is>
          <t>C110</t>
        </is>
      </c>
      <c r="B111" s="3" t="inlineStr">
        <is>
          <t>Pink sequin mini dress (Halloween / NYE party)</t>
        </is>
      </c>
      <c r="C111" s="3" t="inlineStr">
        <is>
          <t>seasonal-halloween</t>
        </is>
      </c>
      <c r="D111" s="3" t="inlineStr">
        <is>
          <t>Pink Halloween costume list / NYE pink outfit</t>
        </is>
      </c>
      <c r="E111" s="3" t="inlineStr">
        <is>
          <t>Multiple keyword pages ('pink dress sequin halter', 'plus size pink sequin dress') and a live pdp 'Glow Candy Sequin Mini Halter Dress' (30-day free returns); no sold counts in snippet</t>
        </is>
      </c>
      <c r="F111" s="3" t="inlineStr">
        <is>
          <t>TikTok Shop</t>
        </is>
      </c>
      <c r="G111" s="3" t="inlineStr">
        <is>
          <t>https://shop.tiktok.com/us/pdp/glow-candy-sequin-mini-halter-dress-plunging-neckline-open-back/1731750976731058889</t>
        </is>
      </c>
      <c r="H111" s="3" t="inlineStr">
        <is>
          <t>seen 27 Sep 2026</t>
        </is>
      </c>
      <c r="I111" s="3" t="inlineStr">
        <is>
          <t>unverified: no number</t>
        </is>
      </c>
      <c r="J111" s="3" t="inlineStr"/>
      <c r="K111" s="3" t="inlineStr">
        <is>
          <t>unknown</t>
        </is>
      </c>
      <c r="L111" s="3" t="inlineStr">
        <is>
          <t>unknown</t>
        </is>
      </c>
      <c r="M111" s="3" t="inlineStr">
        <is>
          <t>none (avoid listing under retailer names like Revolve/Windsor/Princess Polly that dominate the keyword pages)</t>
        </is>
      </c>
      <c r="N111" s="3" t="inlineStr">
        <is>
          <t>none</t>
        </is>
      </c>
      <c r="O111" s="3" t="inlineStr">
        <is>
          <t>Works Halloween through NYE; pink sequins are the 'Legally Blonde party' outfit pin.</t>
        </is>
      </c>
      <c r="P111" s="3" t="inlineStr">
        <is>
          <t>REJECT</t>
        </is>
      </c>
      <c r="Q111" s="3" t="inlineStr">
        <is>
          <t>Sized apparel: returns run well above the 8% allowance and Tommy Kate cannot wear blazers; kept for the Amazon pipeline, not the store.</t>
        </is>
      </c>
    </row>
    <row r="112">
      <c r="A112" s="3" t="inlineStr">
        <is>
          <t>C111</t>
        </is>
      </c>
      <c r="B112" s="3" t="inlineStr">
        <is>
          <t>Pink witch hat (satin/velvet, adult)</t>
        </is>
      </c>
      <c r="C112" s="3" t="inlineStr">
        <is>
          <t>seasonal-halloween</t>
        </is>
      </c>
      <c r="D112" s="3" t="inlineStr">
        <is>
          <t>Pink Halloween costume list</t>
        </is>
      </c>
      <c r="E112" s="3" t="inlineStr">
        <is>
          <t>Witch hat keyword pages live ('witches hats', 'witches headband'); no pink-specific pdp or number surfaced</t>
        </is>
      </c>
      <c r="F112" s="3" t="inlineStr">
        <is>
          <t>TikTok Shop</t>
        </is>
      </c>
      <c r="G112" s="3" t="inlineStr">
        <is>
          <t>https://shop.tiktok.com/us/k/witches-hats</t>
        </is>
      </c>
      <c r="H112" s="3" t="inlineStr">
        <is>
          <t>seen 27 Sep 2026</t>
        </is>
      </c>
      <c r="I112" s="3" t="inlineStr">
        <is>
          <t>unverified: no number</t>
        </is>
      </c>
      <c r="J112" s="3" t="inlineStr"/>
      <c r="K112" s="3" t="inlineStr">
        <is>
          <t>unknown</t>
        </is>
      </c>
      <c r="L112" s="3" t="inlineStr">
        <is>
          <t>unknown</t>
        </is>
      </c>
      <c r="M112" s="3" t="inlineStr">
        <is>
          <t>none</t>
        </is>
      </c>
      <c r="N112" s="3" t="inlineStr">
        <is>
          <t>none</t>
        </is>
      </c>
      <c r="O112" s="3" t="inlineStr">
        <is>
          <t>Pink witch is the softer, work-party-safe costume; hat plus black dress is the whole look.</t>
        </is>
      </c>
      <c r="P112" s="3" t="inlineStr">
        <is>
          <t>REJECT</t>
        </is>
      </c>
      <c r="Q112" s="3" t="inlineStr">
        <is>
          <t>No numeric signal in any source (listings exist, counts not visible); Halloween order-by dates also fall before a store can be live.</t>
        </is>
      </c>
    </row>
    <row r="113">
      <c r="A113" s="3" t="inlineStr">
        <is>
          <t>C112</t>
        </is>
      </c>
      <c r="B113" s="3" t="inlineStr">
        <is>
          <t>Pink skeleton garland / pink spiderweb (tabletop or mantel)</t>
        </is>
      </c>
      <c r="C113" s="3" t="inlineStr">
        <is>
          <t>seasonal-halloween</t>
        </is>
      </c>
      <c r="D113" s="3" t="inlineStr">
        <is>
          <t>Pink Halloween home decor list</t>
        </is>
      </c>
      <c r="E113" s="3" t="inlineStr">
        <is>
          <t>'pink skeleton decor' keyword page live (wall art, figurines, accessories); no number</t>
        </is>
      </c>
      <c r="F113" s="3" t="inlineStr">
        <is>
          <t>TikTok Shop</t>
        </is>
      </c>
      <c r="G113" s="3" t="inlineStr">
        <is>
          <t>https://shop.tiktok.com/us/k/pink-skeleton-decor</t>
        </is>
      </c>
      <c r="H113" s="3" t="inlineStr">
        <is>
          <t>seen 27 Sep 2026</t>
        </is>
      </c>
      <c r="I113" s="3" t="inlineStr">
        <is>
          <t>unverified: no number</t>
        </is>
      </c>
      <c r="J113" s="3" t="inlineStr"/>
      <c r="K113" s="3" t="inlineStr">
        <is>
          <t>unknown</t>
        </is>
      </c>
      <c r="L113" s="3" t="inlineStr">
        <is>
          <t>unknown</t>
        </is>
      </c>
      <c r="M113" s="3" t="inlineStr">
        <is>
          <t>none</t>
        </is>
      </c>
      <c r="N113" s="3" t="inlineStr">
        <is>
          <t>none</t>
        </is>
      </c>
      <c r="O113" s="3" t="inlineStr">
        <is>
          <t>Spooky-but-pink is the whole point of the board; skeleton garland gives the Halloween cue without orange.</t>
        </is>
      </c>
      <c r="P113" s="3" t="inlineStr">
        <is>
          <t>REJECT</t>
        </is>
      </c>
      <c r="Q113" s="3" t="inlineStr">
        <is>
          <t>No numeric signal in any source (listings exist, counts not visible); Halloween order-by dates also fall before a store can be live.</t>
        </is>
      </c>
    </row>
    <row r="114">
      <c r="A114" s="3" t="inlineStr">
        <is>
          <t>C113</t>
        </is>
      </c>
      <c r="B114" s="3" t="inlineStr">
        <is>
          <t>Pink Halloween pillow covers / tablecloth (retro ghost and pumpkin print)</t>
        </is>
      </c>
      <c r="C114" s="3" t="inlineStr">
        <is>
          <t>seasonal-halloween</t>
        </is>
      </c>
      <c r="D114" s="3" t="inlineStr">
        <is>
          <t>Pink Halloween living room list</t>
        </is>
      </c>
      <c r="E114" s="3" t="inlineStr">
        <is>
          <t>Temu listings: '4pcs cute pink halloween pillowcase set retro geometric ghost pumpkin boo' and 'halloween tablecloth spooky cute pink with ghosts hearts pumpkins'; sold counts not in snippets</t>
        </is>
      </c>
      <c r="F114" s="3" t="inlineStr">
        <is>
          <t>Temu</t>
        </is>
      </c>
      <c r="G114" s="3" t="inlineStr">
        <is>
          <t>https://www.temu.com/4pcs-cute-pink-halloween-pillowcase-set-retro-geometric-ghost-pumpkin-and-boo-pattern-zipper-design-machine-washable-living-room-decoration-seasonal-home-decor--comfortable-sofa-with-holiday-theme-durable-fabric-gift--14x14-18x1-g-601101939522899.html</t>
        </is>
      </c>
      <c r="H114" s="3" t="inlineStr">
        <is>
          <t>seen 27 Sep 2026</t>
        </is>
      </c>
      <c r="I114" s="3" t="inlineStr">
        <is>
          <t>unverified: no number</t>
        </is>
      </c>
      <c r="J114" s="3" t="inlineStr"/>
      <c r="K114" s="3" t="inlineStr">
        <is>
          <t>unknown</t>
        </is>
      </c>
      <c r="L114" s="3" t="inlineStr">
        <is>
          <t>unknown</t>
        </is>
      </c>
      <c r="M114" s="3" t="inlineStr">
        <is>
          <t>none</t>
        </is>
      </c>
      <c r="N114" s="3" t="inlineStr">
        <is>
          <t>none</t>
        </is>
      </c>
      <c r="O114" s="3" t="inlineStr">
        <is>
          <t>Swap four pillow covers and the sofa is Halloween-ready; renters and apartment dwellers save this.</t>
        </is>
      </c>
      <c r="P114" s="3" t="inlineStr">
        <is>
          <t>REJECT</t>
        </is>
      </c>
      <c r="Q114" s="3" t="inlineStr">
        <is>
          <t>No numeric signal in any source (listings exist, counts not visible); Halloween order-by dates also fall before a store can be live.</t>
        </is>
      </c>
    </row>
    <row r="115">
      <c r="A115" s="3" t="inlineStr">
        <is>
          <t>C114</t>
        </is>
      </c>
      <c r="B115" s="3" t="inlineStr">
        <is>
          <t>Pink Halloween car hanging ghost charms (rear-view mirror set)</t>
        </is>
      </c>
      <c r="C115" s="3" t="inlineStr">
        <is>
          <t>seasonal-halloween</t>
        </is>
      </c>
      <c r="D115" s="3" t="inlineStr">
        <is>
          <t>Pink car finds list (seasonal)</t>
        </is>
      </c>
      <c r="E115" s="3" t="inlineStr">
        <is>
          <t>Temu '5pcs halloween theme car hanging decoration ghost cute' listing live; no sold count in snippet</t>
        </is>
      </c>
      <c r="F115" s="3" t="inlineStr">
        <is>
          <t>Temu</t>
        </is>
      </c>
      <c r="G115" s="3" t="inlineStr">
        <is>
          <t>https://www.temu.com/5pcs-halloween-theme-car-hanging-decoration--ghost-cute-car-interior-accessories-anime-theme-car-interior-decoration-gift-for-teens-scene-decor-room-decor-home-decor-window-decor-pendant-holiday-party-decor-with-rope-g-601099523499821.html</t>
        </is>
      </c>
      <c r="H115" s="3" t="inlineStr">
        <is>
          <t>seen 27 Sep 2026</t>
        </is>
      </c>
      <c r="I115" s="3" t="inlineStr">
        <is>
          <t>unverified: no number</t>
        </is>
      </c>
      <c r="J115" s="3" t="inlineStr"/>
      <c r="K115" s="3" t="inlineStr">
        <is>
          <t>unknown</t>
        </is>
      </c>
      <c r="L115" s="3" t="inlineStr">
        <is>
          <t>unknown</t>
        </is>
      </c>
      <c r="M115" s="3" t="inlineStr">
        <is>
          <t>note: listing says 'anime theme'; source a generic ghost, not a character</t>
        </is>
      </c>
      <c r="N115" s="3" t="inlineStr">
        <is>
          <t>none</t>
        </is>
      </c>
      <c r="O115" s="3" t="inlineStr">
        <is>
          <t>Crosses the seasonal board with the pink-car board, which is one of the highest-saving TDIE lists.</t>
        </is>
      </c>
      <c r="P115" s="3" t="inlineStr">
        <is>
          <t>REJECT</t>
        </is>
      </c>
      <c r="Q115" s="3" t="inlineStr">
        <is>
          <t>Bulky or heavy: inbound shipping pushes the price out of the Pink Finds band.</t>
        </is>
      </c>
    </row>
    <row r="116">
      <c r="A116" s="3" t="inlineStr">
        <is>
          <t>C115</t>
        </is>
      </c>
      <c r="B116" s="3" t="inlineStr">
        <is>
          <t>Pink pumpkin ceramic mug (11 oz, pink pumpkin / pink ghost print or 3D pumpkin shape)</t>
        </is>
      </c>
      <c r="C116" s="3" t="inlineStr">
        <is>
          <t>seasonal-fall</t>
        </is>
      </c>
      <c r="D116" s="3" t="inlineStr">
        <is>
          <t>Pink fall desk / coffee list</t>
        </is>
      </c>
      <c r="E116" s="3" t="inlineStr">
        <is>
          <t>Etsy market pages 'pink pumpkin mug', 'pink fall mug', 'pink pumpkin mugs' plus at least 5 individual listings (11 oz ceramic, printed both sides); sales counts not in snippets</t>
        </is>
      </c>
      <c r="F116" s="3" t="inlineStr">
        <is>
          <t>Etsy</t>
        </is>
      </c>
      <c r="G116" s="3" t="inlineStr">
        <is>
          <t>https://www.etsy.com/market/pink_pumpkin_mug</t>
        </is>
      </c>
      <c r="H116" s="3" t="inlineStr">
        <is>
          <t>seen 27 Sep 2026</t>
        </is>
      </c>
      <c r="I116" s="3" t="inlineStr">
        <is>
          <t>unverified: no number</t>
        </is>
      </c>
      <c r="J116" s="3" t="inlineStr"/>
      <c r="K116" s="3" t="inlineStr">
        <is>
          <t>unknown</t>
        </is>
      </c>
      <c r="L116" s="3" t="inlineStr">
        <is>
          <t>unknown</t>
        </is>
      </c>
      <c r="M116" s="3" t="inlineStr">
        <is>
          <t>none</t>
        </is>
      </c>
      <c r="N116" s="3" t="inlineStr">
        <is>
          <t>none</t>
        </is>
      </c>
      <c r="O116" s="3" t="inlineStr">
        <is>
          <t>The pink desk-setup board needs a seasonal mug; this is the fall one.</t>
        </is>
      </c>
      <c r="P116" s="3" t="inlineStr">
        <is>
          <t>REJECT</t>
        </is>
      </c>
      <c r="Q116" s="3" t="inlineStr">
        <is>
          <t>No numeric signal in any source (listings exist, counts not visible); Halloween order-by dates also fall before a store can be live.</t>
        </is>
      </c>
    </row>
    <row r="117">
      <c r="A117" s="3" t="inlineStr">
        <is>
          <t>C116</t>
        </is>
      </c>
      <c r="B117" s="3" t="inlineStr">
        <is>
          <t>Pink plaid / checkered throw blanket (fall cozy)</t>
        </is>
      </c>
      <c r="C117" s="3" t="inlineStr">
        <is>
          <t>seasonal-fall</t>
        </is>
      </c>
      <c r="D117" s="3" t="inlineStr">
        <is>
          <t>Pink fall cozy list</t>
        </is>
      </c>
      <c r="E117" s="3" t="inlineStr">
        <is>
          <t>Keyword pages 'pink checkered bedding', 'fluffy pink blanket', 'pink blanket queen' live; a 15 lb pink minky weighted blanket pdp also live; no sold counts in snippets</t>
        </is>
      </c>
      <c r="F117" s="3" t="inlineStr">
        <is>
          <t>TikTok Shop</t>
        </is>
      </c>
      <c r="G117" s="3" t="inlineStr">
        <is>
          <t>https://shop.tiktok.com/us/k/pink-checkered-bedding</t>
        </is>
      </c>
      <c r="H117" s="3" t="inlineStr">
        <is>
          <t>seen 27 Sep 2026</t>
        </is>
      </c>
      <c r="I117" s="3" t="inlineStr">
        <is>
          <t>unverified: no number</t>
        </is>
      </c>
      <c r="J117" s="3" t="inlineStr"/>
      <c r="K117" s="3" t="inlineStr">
        <is>
          <t>unknown</t>
        </is>
      </c>
      <c r="L117" s="3" t="inlineStr">
        <is>
          <t>unknown</t>
        </is>
      </c>
      <c r="M117" s="3" t="inlineStr">
        <is>
          <t>none</t>
        </is>
      </c>
      <c r="N117" s="3" t="inlineStr">
        <is>
          <t>none (reject 'pink electric blanket' variants unless UL/ETL stated)</t>
        </is>
      </c>
      <c r="O117" s="3" t="inlineStr">
        <is>
          <t>Pink plaid reads 'fall' without a pumpkin; the throw is the cheapest room refresh pin.</t>
        </is>
      </c>
      <c r="P117" s="3" t="inlineStr">
        <is>
          <t>REJECT</t>
        </is>
      </c>
      <c r="Q117" s="3" t="inlineStr">
        <is>
          <t>No numeric signal found (listings exist, counts not visible in snippets).</t>
        </is>
      </c>
    </row>
    <row r="118">
      <c r="A118" s="3" t="inlineStr">
        <is>
          <t>C117</t>
        </is>
      </c>
      <c r="B118" s="3" t="inlineStr">
        <is>
          <t>Pink nutcracker figurine (pastel, ballet-inspired, 12-14 in)</t>
        </is>
      </c>
      <c r="C118" s="3" t="inlineStr">
        <is>
          <t>seasonal-christmas</t>
        </is>
      </c>
      <c r="D118" s="3" t="inlineStr">
        <is>
          <t>Pink Christmas mantel / Nutcracker-core list</t>
        </is>
      </c>
      <c r="E118" s="3" t="inlineStr">
        <is>
          <t>Etsy Holiday 2025 Trend Edit names 'Nutcrackercore' for 'the girly girl' who loves 'ballet slipper pink' (qualitative, no number in snippet)</t>
        </is>
      </c>
      <c r="F118" s="3" t="inlineStr">
        <is>
          <t>Etsy</t>
        </is>
      </c>
      <c r="G118" s="3" t="inlineStr">
        <is>
          <t>https://www.etsy.com/news/the-etsy-trend-edit-holiday-2025athe-styles-and-gifts-defining-the-season-all-made-to-feel-uniquely-you</t>
        </is>
      </c>
      <c r="H118" s="3" t="inlineStr">
        <is>
          <t>Holiday 2025</t>
        </is>
      </c>
      <c r="I118" s="3" t="inlineStr">
        <is>
          <t>seen in snippet; qualitative</t>
        </is>
      </c>
      <c r="J118" s="3" t="inlineStr">
        <is>
          <t>Etsy: Live listings: 'Pink Christmas Nutcracker With Candy Cane 14 in' (wood, glitter, beaded trim), 'Pink Nutcracker Christmas Decoration' hand-painted pastel; sales counts not in snippets (https://www.etsy.com/listing/1324223430/pink-christmas-nutcracker-with-candy)</t>
        </is>
      </c>
      <c r="K118" s="3" t="inlineStr">
        <is>
          <t>unknown</t>
        </is>
      </c>
      <c r="L118" s="3" t="inlineStr">
        <is>
          <t>unknown</t>
        </is>
      </c>
      <c r="M118" s="3" t="inlineStr">
        <is>
          <t>none</t>
        </is>
      </c>
      <c r="N118" s="3" t="inlineStr">
        <is>
          <t>none</t>
        </is>
      </c>
      <c r="O118" s="3" t="inlineStr">
        <is>
          <t>Nutcracker-core was Etsy's named girly holiday trend; a pastel pink nutcracker is the shelf-styling pin.</t>
        </is>
      </c>
      <c r="P118" s="3" t="inlineStr">
        <is>
          <t>REJECT</t>
        </is>
      </c>
      <c r="Q118" s="3" t="inlineStr">
        <is>
          <t>No numeric signal found (listings exist, counts not visible in snippets).</t>
        </is>
      </c>
    </row>
    <row r="119">
      <c r="A119" s="2" t="inlineStr">
        <is>
          <t>C118</t>
        </is>
      </c>
      <c r="B119" s="2" t="inlineStr">
        <is>
          <t>Pink tinsel / pink artificial Christmas tree (2-3 ft tabletop)</t>
        </is>
      </c>
      <c r="C119" s="2" t="inlineStr">
        <is>
          <t>seasonal-christmas</t>
        </is>
      </c>
      <c r="D119" s="2" t="inlineStr">
        <is>
          <t>Pink Christmas tree decor list / Pink office tree</t>
        </is>
      </c>
      <c r="E119" s="2" t="inlineStr">
        <is>
          <t>Keyword pages '3ft pink christmas tree', 'pink 2ft christmas tree', 'girly christmas tree', 'pink walmart christmas tree' live; no sold counts in snippets</t>
        </is>
      </c>
      <c r="F119" s="2" t="inlineStr">
        <is>
          <t>TikTok Shop</t>
        </is>
      </c>
      <c r="G119" s="2" t="inlineStr">
        <is>
          <t>https://shop.tiktok.com/us/k/3ft-pink-christmas-tree</t>
        </is>
      </c>
      <c r="H119" s="2" t="inlineStr">
        <is>
          <t>seen 27 Sep 2026</t>
        </is>
      </c>
      <c r="I119" s="2" t="inlineStr">
        <is>
          <t>unverified: no number</t>
        </is>
      </c>
      <c r="J119" s="2" t="inlineStr"/>
      <c r="K119" s="2" t="inlineStr">
        <is>
          <t>unknown</t>
        </is>
      </c>
      <c r="L119" s="2" t="inlineStr">
        <is>
          <t>unknown</t>
        </is>
      </c>
      <c r="M119" s="2" t="inlineStr">
        <is>
          <t>none (reject 'pink Grinch tree' listings)</t>
        </is>
      </c>
      <c r="N119" s="2" t="inlineStr">
        <is>
          <t>none if unlit; pre-lit versions need UL/ETL</t>
        </is>
      </c>
      <c r="O119" s="2" t="inlineStr">
        <is>
          <t>A 2-3 ft pink tree is the desk / apartment tree; it anchors the whole Pinkmas list.</t>
        </is>
      </c>
      <c r="P119" s="2" t="inlineStr">
        <is>
          <t>BANK Q10</t>
        </is>
      </c>
      <c r="Q119" s="2" t="inlineStr"/>
    </row>
    <row r="120">
      <c r="A120" s="2" t="inlineStr">
        <is>
          <t>C119</t>
        </is>
      </c>
      <c r="B120" s="2" t="inlineStr">
        <is>
          <t>Pink Christmas stocking (velvet or knit, blush, with bow)</t>
        </is>
      </c>
      <c r="C120" s="2" t="inlineStr">
        <is>
          <t>seasonal-christmas</t>
        </is>
      </c>
      <c r="D120" s="2" t="inlineStr">
        <is>
          <t>Pink Christmas mantel list</t>
        </is>
      </c>
      <c r="E120" s="2" t="inlineStr">
        <is>
          <t>'Christmas Pink Stocking Nutcracker Ballerina Stocking' custom-printed listing live; no sales count in snippet</t>
        </is>
      </c>
      <c r="F120" s="2" t="inlineStr">
        <is>
          <t>Etsy</t>
        </is>
      </c>
      <c r="G120" s="2" t="inlineStr">
        <is>
          <t>https://www.etsy.com/listing/1117640998/christmas-pink-stocking-nutcracker</t>
        </is>
      </c>
      <c r="H120" s="2" t="inlineStr">
        <is>
          <t>seen 27 Sep 2026</t>
        </is>
      </c>
      <c r="I120" s="2" t="inlineStr">
        <is>
          <t>unverified: no number</t>
        </is>
      </c>
      <c r="J120" s="2" t="inlineStr">
        <is>
          <t>TikTok Shop: Stocking keyword pages live ('adult christmas stockings', 'christmas stockings cute') but no pink-specific pdp surfaced (https://shop.tiktok.com/us/k/christmas-stockings-cute)</t>
        </is>
      </c>
      <c r="K120" s="2" t="inlineStr">
        <is>
          <t>unknown</t>
        </is>
      </c>
      <c r="L120" s="2" t="inlineStr">
        <is>
          <t>unknown</t>
        </is>
      </c>
      <c r="M120" s="2" t="inlineStr">
        <is>
          <t>none</t>
        </is>
      </c>
      <c r="N120" s="2" t="inlineStr">
        <is>
          <t>none</t>
        </is>
      </c>
      <c r="O120" s="2" t="inlineStr">
        <is>
          <t>Mantel pins need stockings; pink velvet with a bow matches the bow-tree look.</t>
        </is>
      </c>
      <c r="P120" s="2" t="inlineStr">
        <is>
          <t>BANK Q09</t>
        </is>
      </c>
      <c r="Q120" s="2" t="inlineStr"/>
    </row>
    <row r="121">
      <c r="A121" s="3" t="inlineStr">
        <is>
          <t>C120</t>
        </is>
      </c>
      <c r="B121" s="3" t="inlineStr">
        <is>
          <t>Pink Christmas wreath / pink tree skirt / pink wrapping paper and ribbon</t>
        </is>
      </c>
      <c r="C121" s="3" t="inlineStr">
        <is>
          <t>seasonal-christmas</t>
        </is>
      </c>
      <c r="D121" s="3" t="inlineStr">
        <is>
          <t>Pink Christmas tree decor list</t>
        </is>
      </c>
      <c r="E121" s="3" t="inlineStr">
        <is>
          <t>Trade press: 'Pink Christmas' named a standout 2026 colour story; 'dusty rose', 'blush and ballet pink', 'velvet ribbon' called out (Gift Shop Magazine / Home Accents Today / Decorator's Warehouse); no numbers</t>
        </is>
      </c>
      <c r="F121" s="3" t="inlineStr">
        <is>
          <t>other</t>
        </is>
      </c>
      <c r="G121" s="3" t="inlineStr">
        <is>
          <t>https://www.homeaccentstoday.com/trends/new-noteworthy-pink-christmas/</t>
        </is>
      </c>
      <c r="H121" s="3" t="inlineStr">
        <is>
          <t>2026</t>
        </is>
      </c>
      <c r="I121" s="3" t="inlineStr">
        <is>
          <t>seen in snippet; qualitative</t>
        </is>
      </c>
      <c r="J121" s="3" t="inlineStr">
        <is>
          <t>TikTok Shop: Keyword pages 'bows on doors for christmas', 'christmas wired ribbon clearance' live; no numbers (https://shop.tiktok.com/us/k/bows-on-doors-for-christmas)</t>
        </is>
      </c>
      <c r="K121" s="3" t="inlineStr">
        <is>
          <t>unknown</t>
        </is>
      </c>
      <c r="L121" s="3" t="inlineStr">
        <is>
          <t>unknown</t>
        </is>
      </c>
      <c r="M121" s="3" t="inlineStr">
        <is>
          <t>none</t>
        </is>
      </c>
      <c r="N121" s="3" t="inlineStr">
        <is>
          <t>none</t>
        </is>
      </c>
      <c r="O121" s="3" t="inlineStr">
        <is>
          <t>Wreath, skirt and wrap are the three items that finish a pink tree pin; searched together, sold separately.</t>
        </is>
      </c>
      <c r="P121" s="3" t="inlineStr">
        <is>
          <t>REJECT</t>
        </is>
      </c>
      <c r="Q121" s="3" t="inlineStr">
        <is>
          <t>No numeric signal found (listings exist, counts not visible in snippets).</t>
        </is>
      </c>
    </row>
    <row r="122">
      <c r="A122" s="3" t="inlineStr">
        <is>
          <t>C121</t>
        </is>
      </c>
      <c r="B122" s="3" t="inlineStr">
        <is>
          <t>Pink Christmas mug / pink candy cane decor / pink advent calendar (non-cosmetic) / pink Christmas car bow</t>
        </is>
      </c>
      <c r="C122" s="3" t="inlineStr">
        <is>
          <t>seasonal-christmas</t>
        </is>
      </c>
      <c r="D122" s="3" t="inlineStr">
        <is>
          <t>Pink Christmas desk, kitchen and car lists</t>
        </is>
      </c>
      <c r="E122" s="3" t="inlineStr">
        <is>
          <t>No listing-level or trend-level numbers surfaced before the search budget was exhausted; only qualitative 'Pinkmas' / 'candy-cane stripes' mentions in trade trend articles</t>
        </is>
      </c>
      <c r="F122" s="3" t="inlineStr">
        <is>
          <t>other</t>
        </is>
      </c>
      <c r="G122" s="3" t="inlineStr">
        <is>
          <t>https://giftshopmag.com/article/curating-holiday-magic/</t>
        </is>
      </c>
      <c r="H122" s="3" t="inlineStr">
        <is>
          <t>2026</t>
        </is>
      </c>
      <c r="I122" s="3" t="inlineStr">
        <is>
          <t>unverified: no number</t>
        </is>
      </c>
      <c r="J122" s="3" t="inlineStr"/>
      <c r="K122" s="3" t="inlineStr">
        <is>
          <t>unknown</t>
        </is>
      </c>
      <c r="L122" s="3" t="inlineStr">
        <is>
          <t>unknown</t>
        </is>
      </c>
      <c r="M122" s="3" t="inlineStr">
        <is>
          <t>none</t>
        </is>
      </c>
      <c r="N122" s="3" t="inlineStr">
        <is>
          <t>none (advent calendar must be non-cosmetic, e.g. ornaments, bows, socks, jewellery)</t>
        </is>
      </c>
      <c r="O122" s="3" t="inlineStr">
        <is>
          <t>Grouped as follow-up research targets; each is a natural pin on the existing pink desk, kitchen and car lists.</t>
        </is>
      </c>
      <c r="P122" s="3" t="inlineStr">
        <is>
          <t>REJECT</t>
        </is>
      </c>
      <c r="Q122" s="3" t="inlineStr">
        <is>
          <t>No numeric signal found (listings exist, counts not visible in snippets).</t>
        </is>
      </c>
    </row>
    <row r="123">
      <c r="A123" s="2" t="inlineStr">
        <is>
          <t>C122</t>
        </is>
      </c>
      <c r="B123" s="2" t="inlineStr">
        <is>
          <t>Pink faux fur throw blanket 50x60</t>
        </is>
      </c>
      <c r="C123" s="2" t="inlineStr">
        <is>
          <t>home-cozy</t>
        </is>
      </c>
      <c r="D123" s="2" t="inlineStr">
        <is>
          <t>Pink Halloween Party at Home / cozy pink living room</t>
        </is>
      </c>
      <c r="E123" s="2" t="inlineStr">
        <is>
          <t>Amazon 'pink faux fur throw blanket': Jungle Star 50x60 100+ bought in past month, Amazon's Choice</t>
        </is>
      </c>
      <c r="F123" s="2" t="inlineStr">
        <is>
          <t>Amazon Best Sellers</t>
        </is>
      </c>
      <c r="G123" s="2" t="inlineStr">
        <is>
          <t>https://www.amazon.com/pink-fluffy-blanket/s?k=pink+fluffy+blanket</t>
        </is>
      </c>
      <c r="H123" s="2" t="inlineStr">
        <is>
          <t>2026-09-27</t>
        </is>
      </c>
      <c r="I123" s="2" t="inlineStr">
        <is>
          <t>seen in snippet (lead's own search)</t>
        </is>
      </c>
      <c r="J123" s="2" t="inlineStr">
        <is>
          <t>TikTok Shop 'pink blanket fluffy' keyword page: blankets that 'sold thousands' as limited-time deals (unverified, no exact count)</t>
        </is>
      </c>
      <c r="K123" s="2" t="inlineStr">
        <is>
          <t>unknown</t>
        </is>
      </c>
      <c r="L123" s="2" t="inlineStr">
        <is>
          <t>unknown</t>
        </is>
      </c>
      <c r="M123" s="2" t="inlineStr">
        <is>
          <t>none</t>
        </is>
      </c>
      <c r="N123" s="2" t="inlineStr">
        <is>
          <t>none</t>
        </is>
      </c>
      <c r="O123" s="2" t="inlineStr">
        <is>
          <t>Pink faux fur photographs like a cloud and makes a movie-night pin look like a room you want to be in.</t>
        </is>
      </c>
      <c r="P123" s="2" t="inlineStr">
        <is>
          <t>BANK Q03</t>
        </is>
      </c>
      <c r="Q123" s="2" t="inlineStr"/>
    </row>
    <row r="124">
      <c r="A124" s="2" t="inlineStr">
        <is>
          <t>C123</t>
        </is>
      </c>
      <c r="B124" s="2" t="inlineStr">
        <is>
          <t>Pink velvet throw pillow covers (pair)</t>
        </is>
      </c>
      <c r="C124" s="2" t="inlineStr">
        <is>
          <t>home-cozy</t>
        </is>
      </c>
      <c r="D124" s="2" t="inlineStr">
        <is>
          <t>Pink Halloween Party at Home / cozy pink living room</t>
        </is>
      </c>
      <c r="E124" s="2" t="inlineStr">
        <is>
          <t>Amazon 'pink velvet pillows' 200+ bought in past month; 'pink velvet pillow cover' 50+; 'velvet throw pillow covers' 800+</t>
        </is>
      </c>
      <c r="F124" s="2" t="inlineStr">
        <is>
          <t>Amazon Best Sellers</t>
        </is>
      </c>
      <c r="G124" s="2" t="inlineStr">
        <is>
          <t>https://www.amazon.com/Pink-Velvet-Pillows/s?k=Pink+Velvet+Pillows</t>
        </is>
      </c>
      <c r="H124" s="2" t="inlineStr">
        <is>
          <t>2026-09-27</t>
        </is>
      </c>
      <c r="I124" s="2" t="inlineStr">
        <is>
          <t>seen in snippet (lead's own search)</t>
        </is>
      </c>
      <c r="J124" s="2" t="inlineStr"/>
      <c r="K124" s="2" t="inlineStr">
        <is>
          <t>unknown</t>
        </is>
      </c>
      <c r="L124" s="2" t="inlineStr">
        <is>
          <t>unknown</t>
        </is>
      </c>
      <c r="M124" s="2" t="inlineStr">
        <is>
          <t>none</t>
        </is>
      </c>
      <c r="N124" s="2" t="inlineStr">
        <is>
          <t>none</t>
        </is>
      </c>
      <c r="O124" s="2" t="inlineStr">
        <is>
          <t>Covers ship flat and cheap; swapping two covers is the cheapest room change on the internet.</t>
        </is>
      </c>
      <c r="P124" s="2" t="inlineStr">
        <is>
          <t>BANK Q04</t>
        </is>
      </c>
      <c r="Q124" s="2" t="inlineStr"/>
    </row>
  </sheetData>
  <autoFilter ref="A1:Q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8" customWidth="1" min="4" max="4"/>
    <col width="4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9" customWidth="1" min="11" max="11"/>
    <col width="12" customWidth="1" min="12" max="12"/>
    <col width="6" customWidth="1" min="13" max="13"/>
    <col width="18" customWidth="1" min="14" max="14"/>
    <col width="26" customWidth="1" min="15" max="15"/>
    <col width="14" customWidth="1" min="16" max="16"/>
    <col width="18" customWidth="1" min="17" max="17"/>
    <col width="40" customWidth="1" min="18" max="18"/>
  </cols>
  <sheetData>
    <row r="1">
      <c r="A1" s="1" t="inlineStr">
        <is>
          <t>Product ID</t>
        </is>
      </c>
      <c r="B1" s="1" t="inlineStr">
        <is>
          <t>Product</t>
        </is>
      </c>
      <c r="C1" s="1" t="inlineStr">
        <is>
          <t>Rank</t>
        </is>
      </c>
      <c r="D1" s="1" t="inlineStr">
        <is>
          <t>Supplier</t>
        </is>
      </c>
      <c r="E1" s="1" t="inlineStr">
        <is>
          <t>Supplier listing URL</t>
        </is>
      </c>
      <c r="F1" s="1" t="inlineStr">
        <is>
          <t>Product cost ($)</t>
        </is>
      </c>
      <c r="G1" s="1" t="inlineStr">
        <is>
          <t>Ship to GA 31808 ($)</t>
        </is>
      </c>
      <c r="H1" s="1" t="inlineStr">
        <is>
          <t>Ship to CA 90210 ($)</t>
        </is>
      </c>
      <c r="I1" s="1" t="inlineStr">
        <is>
          <t>Days to GA (min-max)</t>
        </is>
      </c>
      <c r="J1" s="1" t="inlineStr">
        <is>
          <t>Days to CA (min-max)</t>
        </is>
      </c>
      <c r="K1" s="1" t="inlineStr">
        <is>
          <t>Max quoted days</t>
        </is>
      </c>
      <c r="L1" s="1" t="inlineStr">
        <is>
          <t>Warehouse country</t>
        </is>
      </c>
      <c r="M1" s="1" t="inlineStr">
        <is>
          <t>MOQ</t>
        </is>
      </c>
      <c r="N1" s="1" t="inlineStr">
        <is>
          <t>Packaging</t>
        </is>
      </c>
      <c r="O1" s="1" t="inlineStr">
        <is>
          <t>Return policy</t>
        </is>
      </c>
      <c r="P1" s="1" t="inlineStr">
        <is>
          <t>Photos usable?</t>
        </is>
      </c>
      <c r="Q1" s="1" t="inlineStr">
        <is>
          <t>Verified?</t>
        </is>
      </c>
      <c r="R1" s="1" t="inlineStr">
        <is>
          <t>Notes</t>
        </is>
      </c>
    </row>
    <row r="2">
      <c r="A2" s="2" t="inlineStr">
        <is>
          <t>Q01</t>
        </is>
      </c>
      <c r="B2" s="2" t="inlineStr">
        <is>
          <t>Fluffy pink bunny ears headband</t>
        </is>
      </c>
      <c r="C2" s="2" t="inlineStr">
        <is>
          <t>winner</t>
        </is>
      </c>
      <c r="D2" s="2" t="inlineStr">
        <is>
          <t>CJ Dropshipping (US warehouse filter)</t>
        </is>
      </c>
      <c r="E2" s="2" t="inlineStr">
        <is>
          <t>https://cjdropshipping.com/search/plush+bunny+ears+headband+pink.html</t>
        </is>
      </c>
      <c r="F2" s="4" t="n">
        <v>7.7</v>
      </c>
      <c r="G2" s="4" t="n">
        <v>4.5</v>
      </c>
      <c r="H2" s="4" t="n">
        <v>4.5</v>
      </c>
      <c r="I2" s="2" t="inlineStr">
        <is>
          <t>4 to 9 days (1 to 3 processing + 3 to 6 transit, cjdropshipping.com via snippet)</t>
        </is>
      </c>
      <c r="J2" s="2" t="inlineStr">
        <is>
          <t>4 to 9 days (1 to 3 processing + 3 to 6 transit, cjdropshipping.com via snippet)</t>
        </is>
      </c>
      <c r="K2" s="4" t="n">
        <v>9</v>
      </c>
      <c r="L2" s="2" t="inlineStr">
        <is>
          <t>US (NJ or CA)</t>
        </is>
      </c>
      <c r="M2" s="2" t="n">
        <v>1</v>
      </c>
      <c r="N2" s="2" t="inlineStr">
        <is>
          <t>unbranded mailer (confirm)</t>
        </is>
      </c>
      <c r="O2" s="2" t="inlineStr">
        <is>
          <t>CJ: refund or resend for damaged, wrong or lost items; change-of-mind returns at buyer cost. Confirm on cjdropshipping.com (return policy page).</t>
        </is>
      </c>
      <c r="P2" s="2" t="inlineStr">
        <is>
          <t>listing photos usable for the product page after checking the supplier licence; pins use our generated images</t>
        </is>
      </c>
      <c r="Q2" s="2" t="inlineStr">
        <is>
          <t>estimate: cost = 40% of the US retail seen (Zendrop guide ratio $8 to $12 product on $25 retail); confirm on cjdropshipping.com</t>
        </is>
      </c>
      <c r="R2" s="2" t="inlineStr">
        <is>
          <t>Search 'plush bunny ears headband pink' with the US Warehouse filter on. Shipping: under 8 oz, estimate $4.50 (Zendrop $4 to $6 band). Colour of the 4.8K-sold variant not confirmed pink.</t>
        </is>
      </c>
    </row>
    <row r="3">
      <c r="A3" s="3" t="inlineStr">
        <is>
          <t>Q01</t>
        </is>
      </c>
      <c r="B3" s="3" t="inlineStr">
        <is>
          <t>Fluffy pink bunny ears headband</t>
        </is>
      </c>
      <c r="C3" s="3" t="inlineStr">
        <is>
          <t>backup</t>
        </is>
      </c>
      <c r="D3" s="3" t="inlineStr">
        <is>
          <t>Zendrop (Ships From: US filter)</t>
        </is>
      </c>
      <c r="E3" s="3" t="inlineStr">
        <is>
          <t>https://app.zendrop.com/ (search 'plush bunny ears headband pink', Ships From: US)</t>
        </is>
      </c>
      <c r="F3" s="5" t="n">
        <v>8.470000000000001</v>
      </c>
      <c r="G3" s="5" t="n">
        <v>4.5</v>
      </c>
      <c r="H3" s="5" t="n">
        <v>4.5</v>
      </c>
      <c r="I3" s="3" t="inlineStr">
        <is>
          <t>3 to 11 days (1 to 3 business days processing + 2 to 8 days, support.zendrop.com via snippet)</t>
        </is>
      </c>
      <c r="J3" s="3" t="inlineStr">
        <is>
          <t>3 to 11 days (1 to 3 business days processing + 2 to 8 days, support.zendrop.com via snippet)</t>
        </is>
      </c>
      <c r="K3" s="5" t="n">
        <v>11</v>
      </c>
      <c r="L3" s="3" t="inlineStr">
        <is>
          <t>US</t>
        </is>
      </c>
      <c r="M3" s="3" t="n">
        <v>1</v>
      </c>
      <c r="N3" s="3" t="inlineStr">
        <is>
          <t>unbranded mailer (confirm)</t>
        </is>
      </c>
      <c r="O3" s="3" t="inlineStr">
        <is>
          <t>Zendrop: refund or replacement for damaged or lost orders; change-of-mind returns not covered. Confirm on support.zendrop.com.</t>
        </is>
      </c>
      <c r="P3" s="3" t="inlineStr">
        <is>
          <t>listing photos usable for the product page after checking the supplier licence; pins use our generated images</t>
        </is>
      </c>
      <c r="Q3" s="3" t="inlineStr">
        <is>
          <t>estimate; confirm on app.zendrop.com</t>
        </is>
      </c>
      <c r="R3" s="3" t="inlineStr">
        <is>
          <t>Needs a paid Zendrop plan ($29/month for 1 to 20 linked products). Cost estimate = CJ estimate + 10%. Search 'plush bunny ears headband pink'.</t>
        </is>
      </c>
    </row>
    <row r="4">
      <c r="A4" s="3" t="inlineStr">
        <is>
          <t>Q01</t>
        </is>
      </c>
      <c r="B4" s="3" t="inlineStr">
        <is>
          <t>Fluffy pink bunny ears headband</t>
        </is>
      </c>
      <c r="C4" s="3" t="inlineStr">
        <is>
          <t>last-resort</t>
        </is>
      </c>
      <c r="D4" s="3" t="inlineStr">
        <is>
          <t>AliExpress Choice (non-US, last resort)</t>
        </is>
      </c>
      <c r="E4" s="3" t="inlineStr">
        <is>
          <t>https://www.aliexpress.us/w/wholesale-plush-bunny-ears-headband-pink.html</t>
        </is>
      </c>
      <c r="F4" s="5" t="n">
        <v>4.62</v>
      </c>
      <c r="G4" s="5" t="n">
        <v>0</v>
      </c>
      <c r="H4" s="5" t="n">
        <v>0</v>
      </c>
      <c r="I4" s="3" t="inlineStr">
        <is>
          <t>7 to 15 days quoted on most Choice listings; exceeds the 10-day rule</t>
        </is>
      </c>
      <c r="J4" s="3" t="inlineStr">
        <is>
          <t>7 to 15 days quoted on most Choice listings; exceeds the 10-day rule</t>
        </is>
      </c>
      <c r="K4" s="5" t="n">
        <v>15</v>
      </c>
      <c r="L4" s="3" t="inlineStr">
        <is>
          <t>China</t>
        </is>
      </c>
      <c r="M4" s="3" t="n">
        <v>1</v>
      </c>
      <c r="N4" s="3" t="inlineStr">
        <is>
          <t>unbranded mailer (confirm)</t>
        </is>
      </c>
      <c r="O4" s="3" t="inlineStr">
        <is>
          <t>AliExpress Choice: free returns within 15 days on Choice items per AliExpress; the store still owes the customer a US return route. Confirm on aliexpress.com.</t>
        </is>
      </c>
      <c r="P4" s="3" t="inlineStr">
        <is>
          <t>listing photos usable for the product page after checking the supplier licence; pins use our generated images</t>
        </is>
      </c>
      <c r="Q4" s="3" t="inlineStr">
        <is>
          <t>estimate; confirm on aliexpress.com</t>
        </is>
      </c>
      <c r="R4" s="3" t="inlineStr">
        <is>
          <t>EXCLUDED for Q4 (15+ day quote). Evergreen only if the US options fail AND margin is 10 points better. Duties apply since de minimis ended 29 Aug 2025.</t>
        </is>
      </c>
    </row>
    <row r="5">
      <c r="A5" s="2" t="inlineStr">
        <is>
          <t>Q02</t>
        </is>
      </c>
      <c r="B5" s="2" t="inlineStr">
        <is>
          <t>Pink velvet pumpkins, set of 12</t>
        </is>
      </c>
      <c r="C5" s="2" t="inlineStr">
        <is>
          <t>winner</t>
        </is>
      </c>
      <c r="D5" s="2" t="inlineStr">
        <is>
          <t>CJ Dropshipping (US warehouse filter)</t>
        </is>
      </c>
      <c r="E5" s="2" t="inlineStr">
        <is>
          <t>https://cjdropshipping.com/search/velvet+pumpkin+set+pink+foam.html</t>
        </is>
      </c>
      <c r="F5" s="4" t="n">
        <v>8</v>
      </c>
      <c r="G5" s="4" t="n">
        <v>5.5</v>
      </c>
      <c r="H5" s="4" t="n">
        <v>5.5</v>
      </c>
      <c r="I5" s="2" t="inlineStr">
        <is>
          <t>4 to 9 days (1 to 3 processing + 3 to 6 transit, cjdropshipping.com via snippet)</t>
        </is>
      </c>
      <c r="J5" s="2" t="inlineStr">
        <is>
          <t>4 to 9 days (1 to 3 processing + 3 to 6 transit, cjdropshipping.com via snippet)</t>
        </is>
      </c>
      <c r="K5" s="4" t="n">
        <v>9</v>
      </c>
      <c r="L5" s="2" t="inlineStr">
        <is>
          <t>US (NJ or CA)</t>
        </is>
      </c>
      <c r="M5" s="2" t="n">
        <v>1</v>
      </c>
      <c r="N5" s="2" t="inlineStr">
        <is>
          <t>unbranded mailer (confirm)</t>
        </is>
      </c>
      <c r="O5" s="2" t="inlineStr">
        <is>
          <t>CJ: refund or resend for damaged, wrong or lost items; change-of-mind returns at buyer cost. Confirm on cjdropshipping.com (return policy page).</t>
        </is>
      </c>
      <c r="P5" s="2" t="inlineStr">
        <is>
          <t>listing photos usable for the product page after checking the supplier licence; pins use our generated images</t>
        </is>
      </c>
      <c r="Q5" s="2" t="inlineStr">
        <is>
          <t>estimate: cost = 40% of the US retail seen (Zendrop guide ratio $8 to $12 product on $25 retail); confirm on cjdropshipping.com</t>
        </is>
      </c>
      <c r="R5" s="2" t="inlineStr">
        <is>
          <t>Search 'velvet pumpkin set pink foam' with the US Warehouse filter on. Shipping: 8 oz to 1 lb, estimate $5.50 (CJ 'about $5' example).</t>
        </is>
      </c>
    </row>
    <row r="6">
      <c r="A6" s="3" t="inlineStr">
        <is>
          <t>Q02</t>
        </is>
      </c>
      <c r="B6" s="3" t="inlineStr">
        <is>
          <t>Pink velvet pumpkins, set of 12</t>
        </is>
      </c>
      <c r="C6" s="3" t="inlineStr">
        <is>
          <t>backup</t>
        </is>
      </c>
      <c r="D6" s="3" t="inlineStr">
        <is>
          <t>Zendrop (Ships From: US filter)</t>
        </is>
      </c>
      <c r="E6" s="3" t="inlineStr">
        <is>
          <t>https://app.zendrop.com/ (search 'velvet pumpkin set pink foam', Ships From: US)</t>
        </is>
      </c>
      <c r="F6" s="5" t="n">
        <v>8.800000000000001</v>
      </c>
      <c r="G6" s="5" t="n">
        <v>5.5</v>
      </c>
      <c r="H6" s="5" t="n">
        <v>5.5</v>
      </c>
      <c r="I6" s="3" t="inlineStr">
        <is>
          <t>3 to 11 days (1 to 3 business days processing + 2 to 8 days, support.zendrop.com via snippet)</t>
        </is>
      </c>
      <c r="J6" s="3" t="inlineStr">
        <is>
          <t>3 to 11 days (1 to 3 business days processing + 2 to 8 days, support.zendrop.com via snippet)</t>
        </is>
      </c>
      <c r="K6" s="5" t="n">
        <v>11</v>
      </c>
      <c r="L6" s="3" t="inlineStr">
        <is>
          <t>US</t>
        </is>
      </c>
      <c r="M6" s="3" t="n">
        <v>1</v>
      </c>
      <c r="N6" s="3" t="inlineStr">
        <is>
          <t>unbranded mailer (confirm)</t>
        </is>
      </c>
      <c r="O6" s="3" t="inlineStr">
        <is>
          <t>Zendrop: refund or replacement for damaged or lost orders; change-of-mind returns not covered. Confirm on support.zendrop.com.</t>
        </is>
      </c>
      <c r="P6" s="3" t="inlineStr">
        <is>
          <t>listing photos usable for the product page after checking the supplier licence; pins use our generated images</t>
        </is>
      </c>
      <c r="Q6" s="3" t="inlineStr">
        <is>
          <t>estimate; confirm on app.zendrop.com</t>
        </is>
      </c>
      <c r="R6" s="3" t="inlineStr">
        <is>
          <t>Needs a paid Zendrop plan ($29/month for 1 to 20 linked products). Cost estimate = CJ estimate + 10%. Search 'velvet pumpkin set pink foam'.</t>
        </is>
      </c>
    </row>
    <row r="7">
      <c r="A7" s="3" t="inlineStr">
        <is>
          <t>Q02</t>
        </is>
      </c>
      <c r="B7" s="3" t="inlineStr">
        <is>
          <t>Pink velvet pumpkins, set of 12</t>
        </is>
      </c>
      <c r="C7" s="3" t="inlineStr">
        <is>
          <t>last-resort</t>
        </is>
      </c>
      <c r="D7" s="3" t="inlineStr">
        <is>
          <t>AliExpress Choice (non-US, last resort)</t>
        </is>
      </c>
      <c r="E7" s="3" t="inlineStr">
        <is>
          <t>https://www.aliexpress.com/item/3256804340218119.html</t>
        </is>
      </c>
      <c r="F7" s="5" t="n">
        <v>4.8</v>
      </c>
      <c r="G7" s="5" t="n">
        <v>0</v>
      </c>
      <c r="H7" s="5" t="n">
        <v>0</v>
      </c>
      <c r="I7" s="3" t="inlineStr">
        <is>
          <t>7 to 15 days quoted on most Choice listings; exceeds the 10-day rule</t>
        </is>
      </c>
      <c r="J7" s="3" t="inlineStr">
        <is>
          <t>7 to 15 days quoted on most Choice listings; exceeds the 10-day rule</t>
        </is>
      </c>
      <c r="K7" s="5" t="n">
        <v>15</v>
      </c>
      <c r="L7" s="3" t="inlineStr">
        <is>
          <t>China</t>
        </is>
      </c>
      <c r="M7" s="3" t="n">
        <v>1</v>
      </c>
      <c r="N7" s="3" t="inlineStr">
        <is>
          <t>unbranded mailer (confirm)</t>
        </is>
      </c>
      <c r="O7" s="3" t="inlineStr">
        <is>
          <t>AliExpress Choice: free returns within 15 days on Choice items per AliExpress; the store still owes the customer a US return route. Confirm on aliexpress.com.</t>
        </is>
      </c>
      <c r="P7" s="3" t="inlineStr">
        <is>
          <t>listing photos usable for the product page after checking the supplier licence; pins use our generated images</t>
        </is>
      </c>
      <c r="Q7" s="3" t="inlineStr">
        <is>
          <t>estimate; confirm on aliexpress.com</t>
        </is>
      </c>
      <c r="R7" s="3" t="inlineStr">
        <is>
          <t>EXCLUDED for Q4 (15+ day quote). Evergreen only if the US options fail AND margin is 10 points better. Duties apply since de minimis ended 29 Aug 2025.</t>
        </is>
      </c>
    </row>
    <row r="8">
      <c r="A8" s="2" t="inlineStr">
        <is>
          <t>Q03</t>
        </is>
      </c>
      <c r="B8" s="2" t="inlineStr">
        <is>
          <t>Pink faux fur throw blanket, 50 by 60</t>
        </is>
      </c>
      <c r="C8" s="2" t="inlineStr">
        <is>
          <t>winner</t>
        </is>
      </c>
      <c r="D8" s="2" t="inlineStr">
        <is>
          <t>CJ Dropshipping (US warehouse filter)</t>
        </is>
      </c>
      <c r="E8" s="2" t="inlineStr">
        <is>
          <t>https://cjdropshipping.com/search/faux+fur+throw+blanket+pink+50x60.html</t>
        </is>
      </c>
      <c r="F8" s="4" t="n">
        <v>12</v>
      </c>
      <c r="G8" s="4" t="n">
        <v>8.15</v>
      </c>
      <c r="H8" s="4" t="n">
        <v>8.15</v>
      </c>
      <c r="I8" s="2" t="inlineStr">
        <is>
          <t>4 to 9 days (1 to 3 processing + 3 to 6 transit, cjdropshipping.com via snippet)</t>
        </is>
      </c>
      <c r="J8" s="2" t="inlineStr">
        <is>
          <t>4 to 9 days (1 to 3 processing + 3 to 6 transit, cjdropshipping.com via snippet)</t>
        </is>
      </c>
      <c r="K8" s="4" t="n">
        <v>9</v>
      </c>
      <c r="L8" s="2" t="inlineStr">
        <is>
          <t>US (NJ or CA)</t>
        </is>
      </c>
      <c r="M8" s="2" t="n">
        <v>1</v>
      </c>
      <c r="N8" s="2" t="inlineStr">
        <is>
          <t>unbranded mailer (confirm)</t>
        </is>
      </c>
      <c r="O8" s="2" t="inlineStr">
        <is>
          <t>CJ: refund or resend for damaged, wrong or lost items; change-of-mind returns at buyer cost. Confirm on cjdropshipping.com (return policy page).</t>
        </is>
      </c>
      <c r="P8" s="2" t="inlineStr">
        <is>
          <t>listing photos usable for the product page after checking the supplier licence; pins use our generated images</t>
        </is>
      </c>
      <c r="Q8" s="2" t="inlineStr">
        <is>
          <t>estimate: cost = 40% of the US retail seen (Zendrop guide ratio $8 to $12 product on $25 retail); confirm on cjdropshipping.com</t>
        </is>
      </c>
      <c r="R8" s="2" t="inlineStr">
        <is>
          <t>Search 'faux fur throw blanket pink 50x60' with the US Warehouse filter on. Shipping: 1 to 2 lb, USPS Ground Advantage commercial 1 lb zone 4 $8.15 seen.</t>
        </is>
      </c>
    </row>
    <row r="9">
      <c r="A9" s="3" t="inlineStr">
        <is>
          <t>Q03</t>
        </is>
      </c>
      <c r="B9" s="3" t="inlineStr">
        <is>
          <t>Pink faux fur throw blanket, 50 by 60</t>
        </is>
      </c>
      <c r="C9" s="3" t="inlineStr">
        <is>
          <t>backup</t>
        </is>
      </c>
      <c r="D9" s="3" t="inlineStr">
        <is>
          <t>Zendrop (Ships From: US filter)</t>
        </is>
      </c>
      <c r="E9" s="3" t="inlineStr">
        <is>
          <t>https://app.zendrop.com/ (search 'faux fur throw blanket pink 50x60', Ships From: US)</t>
        </is>
      </c>
      <c r="F9" s="5" t="n">
        <v>13.2</v>
      </c>
      <c r="G9" s="5" t="n">
        <v>8.15</v>
      </c>
      <c r="H9" s="5" t="n">
        <v>8.15</v>
      </c>
      <c r="I9" s="3" t="inlineStr">
        <is>
          <t>3 to 11 days (1 to 3 business days processing + 2 to 8 days, support.zendrop.com via snippet)</t>
        </is>
      </c>
      <c r="J9" s="3" t="inlineStr">
        <is>
          <t>3 to 11 days (1 to 3 business days processing + 2 to 8 days, support.zendrop.com via snippet)</t>
        </is>
      </c>
      <c r="K9" s="5" t="n">
        <v>11</v>
      </c>
      <c r="L9" s="3" t="inlineStr">
        <is>
          <t>US</t>
        </is>
      </c>
      <c r="M9" s="3" t="n">
        <v>1</v>
      </c>
      <c r="N9" s="3" t="inlineStr">
        <is>
          <t>unbranded mailer (confirm)</t>
        </is>
      </c>
      <c r="O9" s="3" t="inlineStr">
        <is>
          <t>Zendrop: refund or replacement for damaged or lost orders; change-of-mind returns not covered. Confirm on support.zendrop.com.</t>
        </is>
      </c>
      <c r="P9" s="3" t="inlineStr">
        <is>
          <t>listing photos usable for the product page after checking the supplier licence; pins use our generated images</t>
        </is>
      </c>
      <c r="Q9" s="3" t="inlineStr">
        <is>
          <t>estimate; confirm on app.zendrop.com</t>
        </is>
      </c>
      <c r="R9" s="3" t="inlineStr">
        <is>
          <t>Needs a paid Zendrop plan ($29/month for 1 to 20 linked products). Cost estimate = CJ estimate + 10%. Search 'faux fur throw blanket pink 50x60'.</t>
        </is>
      </c>
    </row>
    <row r="10">
      <c r="A10" s="3" t="inlineStr">
        <is>
          <t>Q03</t>
        </is>
      </c>
      <c r="B10" s="3" t="inlineStr">
        <is>
          <t>Pink faux fur throw blanket, 50 by 60</t>
        </is>
      </c>
      <c r="C10" s="3" t="inlineStr">
        <is>
          <t>last-resort</t>
        </is>
      </c>
      <c r="D10" s="3" t="inlineStr">
        <is>
          <t>AliExpress Choice (non-US, last resort)</t>
        </is>
      </c>
      <c r="E10" s="3" t="inlineStr">
        <is>
          <t>https://www.aliexpress.us/w/wholesale-faux-fur-throw-blanket-pink-50x60.html</t>
        </is>
      </c>
      <c r="F10" s="5" t="n">
        <v>7.2</v>
      </c>
      <c r="G10" s="5" t="n">
        <v>0</v>
      </c>
      <c r="H10" s="5" t="n">
        <v>0</v>
      </c>
      <c r="I10" s="3" t="inlineStr">
        <is>
          <t>7 to 15 days quoted on most Choice listings; exceeds the 10-day rule</t>
        </is>
      </c>
      <c r="J10" s="3" t="inlineStr">
        <is>
          <t>7 to 15 days quoted on most Choice listings; exceeds the 10-day rule</t>
        </is>
      </c>
      <c r="K10" s="5" t="n">
        <v>15</v>
      </c>
      <c r="L10" s="3" t="inlineStr">
        <is>
          <t>China</t>
        </is>
      </c>
      <c r="M10" s="3" t="n">
        <v>1</v>
      </c>
      <c r="N10" s="3" t="inlineStr">
        <is>
          <t>unbranded mailer (confirm)</t>
        </is>
      </c>
      <c r="O10" s="3" t="inlineStr">
        <is>
          <t>AliExpress Choice: free returns within 15 days on Choice items per AliExpress; the store still owes the customer a US return route. Confirm on aliexpress.com.</t>
        </is>
      </c>
      <c r="P10" s="3" t="inlineStr">
        <is>
          <t>listing photos usable for the product page after checking the supplier licence; pins use our generated images</t>
        </is>
      </c>
      <c r="Q10" s="3" t="inlineStr">
        <is>
          <t>estimate; confirm on aliexpress.com</t>
        </is>
      </c>
      <c r="R10" s="3" t="inlineStr">
        <is>
          <t>EXCLUDED for Q4 (15+ day quote). Evergreen only if the US options fail AND margin is 10 points better. Duties apply since de minimis ended 29 Aug 2025.</t>
        </is>
      </c>
    </row>
    <row r="11">
      <c r="A11" s="2" t="inlineStr">
        <is>
          <t>Q04</t>
        </is>
      </c>
      <c r="B11" s="2" t="inlineStr">
        <is>
          <t>Pink velvet throw pillow covers, pair</t>
        </is>
      </c>
      <c r="C11" s="2" t="inlineStr">
        <is>
          <t>winner</t>
        </is>
      </c>
      <c r="D11" s="2" t="inlineStr">
        <is>
          <t>CJ Dropshipping (US warehouse filter)</t>
        </is>
      </c>
      <c r="E11" s="2" t="inlineStr">
        <is>
          <t>https://cjdropshipping.com/search/velvet+pillow+cover+pink+18x18.html</t>
        </is>
      </c>
      <c r="F11" s="4" t="n">
        <v>6</v>
      </c>
      <c r="G11" s="4" t="n">
        <v>4.5</v>
      </c>
      <c r="H11" s="4" t="n">
        <v>4.5</v>
      </c>
      <c r="I11" s="2" t="inlineStr">
        <is>
          <t>4 to 9 days (1 to 3 processing + 3 to 6 transit, cjdropshipping.com via snippet)</t>
        </is>
      </c>
      <c r="J11" s="2" t="inlineStr">
        <is>
          <t>4 to 9 days (1 to 3 processing + 3 to 6 transit, cjdropshipping.com via snippet)</t>
        </is>
      </c>
      <c r="K11" s="4" t="n">
        <v>9</v>
      </c>
      <c r="L11" s="2" t="inlineStr">
        <is>
          <t>US (NJ or CA)</t>
        </is>
      </c>
      <c r="M11" s="2" t="n">
        <v>1</v>
      </c>
      <c r="N11" s="2" t="inlineStr">
        <is>
          <t>unbranded mailer (confirm)</t>
        </is>
      </c>
      <c r="O11" s="2" t="inlineStr">
        <is>
          <t>CJ: refund or resend for damaged, wrong or lost items; change-of-mind returns at buyer cost. Confirm on cjdropshipping.com (return policy page).</t>
        </is>
      </c>
      <c r="P11" s="2" t="inlineStr">
        <is>
          <t>listing photos usable for the product page after checking the supplier licence; pins use our generated images</t>
        </is>
      </c>
      <c r="Q11" s="2" t="inlineStr">
        <is>
          <t>estimate: cost = 40% of the US retail seen (Zendrop guide ratio $8 to $12 product on $25 retail); confirm on cjdropshipping.com</t>
        </is>
      </c>
      <c r="R11" s="2" t="inlineStr">
        <is>
          <t>Search 'velvet pillow cover pink 18x18' with the US Warehouse filter on. Shipping: under 8 oz, estimate $4.50 (Zendrop $4 to $6 band).</t>
        </is>
      </c>
    </row>
    <row r="12">
      <c r="A12" s="3" t="inlineStr">
        <is>
          <t>Q04</t>
        </is>
      </c>
      <c r="B12" s="3" t="inlineStr">
        <is>
          <t>Pink velvet throw pillow covers, pair</t>
        </is>
      </c>
      <c r="C12" s="3" t="inlineStr">
        <is>
          <t>backup</t>
        </is>
      </c>
      <c r="D12" s="3" t="inlineStr">
        <is>
          <t>Zendrop (Ships From: US filter)</t>
        </is>
      </c>
      <c r="E12" s="3" t="inlineStr">
        <is>
          <t>https://app.zendrop.com/ (search 'velvet pillow cover pink 18x18', Ships From: US)</t>
        </is>
      </c>
      <c r="F12" s="5" t="n">
        <v>6.6</v>
      </c>
      <c r="G12" s="5" t="n">
        <v>4.5</v>
      </c>
      <c r="H12" s="5" t="n">
        <v>4.5</v>
      </c>
      <c r="I12" s="3" t="inlineStr">
        <is>
          <t>3 to 11 days (1 to 3 business days processing + 2 to 8 days, support.zendrop.com via snippet)</t>
        </is>
      </c>
      <c r="J12" s="3" t="inlineStr">
        <is>
          <t>3 to 11 days (1 to 3 business days processing + 2 to 8 days, support.zendrop.com via snippet)</t>
        </is>
      </c>
      <c r="K12" s="5" t="n">
        <v>11</v>
      </c>
      <c r="L12" s="3" t="inlineStr">
        <is>
          <t>US</t>
        </is>
      </c>
      <c r="M12" s="3" t="n">
        <v>1</v>
      </c>
      <c r="N12" s="3" t="inlineStr">
        <is>
          <t>unbranded mailer (confirm)</t>
        </is>
      </c>
      <c r="O12" s="3" t="inlineStr">
        <is>
          <t>Zendrop: refund or replacement for damaged or lost orders; change-of-mind returns not covered. Confirm on support.zendrop.com.</t>
        </is>
      </c>
      <c r="P12" s="3" t="inlineStr">
        <is>
          <t>listing photos usable for the product page after checking the supplier licence; pins use our generated images</t>
        </is>
      </c>
      <c r="Q12" s="3" t="inlineStr">
        <is>
          <t>estimate; confirm on app.zendrop.com</t>
        </is>
      </c>
      <c r="R12" s="3" t="inlineStr">
        <is>
          <t>Needs a paid Zendrop plan ($29/month for 1 to 20 linked products). Cost estimate = CJ estimate + 10%. Search 'velvet pillow cover pink 18x18'.</t>
        </is>
      </c>
    </row>
    <row r="13">
      <c r="A13" s="3" t="inlineStr">
        <is>
          <t>Q04</t>
        </is>
      </c>
      <c r="B13" s="3" t="inlineStr">
        <is>
          <t>Pink velvet throw pillow covers, pair</t>
        </is>
      </c>
      <c r="C13" s="3" t="inlineStr">
        <is>
          <t>last-resort</t>
        </is>
      </c>
      <c r="D13" s="3" t="inlineStr">
        <is>
          <t>AliExpress Choice (non-US, last resort)</t>
        </is>
      </c>
      <c r="E13" s="3" t="inlineStr">
        <is>
          <t>https://www.aliexpress.us/w/wholesale-velvet-pillow-cover-pink-18x18.html</t>
        </is>
      </c>
      <c r="F13" s="5" t="n">
        <v>3.6</v>
      </c>
      <c r="G13" s="5" t="n">
        <v>0</v>
      </c>
      <c r="H13" s="5" t="n">
        <v>0</v>
      </c>
      <c r="I13" s="3" t="inlineStr">
        <is>
          <t>7 to 15 days quoted on most Choice listings; exceeds the 10-day rule</t>
        </is>
      </c>
      <c r="J13" s="3" t="inlineStr">
        <is>
          <t>7 to 15 days quoted on most Choice listings; exceeds the 10-day rule</t>
        </is>
      </c>
      <c r="K13" s="5" t="n">
        <v>15</v>
      </c>
      <c r="L13" s="3" t="inlineStr">
        <is>
          <t>China</t>
        </is>
      </c>
      <c r="M13" s="3" t="n">
        <v>1</v>
      </c>
      <c r="N13" s="3" t="inlineStr">
        <is>
          <t>unbranded mailer (confirm)</t>
        </is>
      </c>
      <c r="O13" s="3" t="inlineStr">
        <is>
          <t>AliExpress Choice: free returns within 15 days on Choice items per AliExpress; the store still owes the customer a US return route. Confirm on aliexpress.com.</t>
        </is>
      </c>
      <c r="P13" s="3" t="inlineStr">
        <is>
          <t>listing photos usable for the product page after checking the supplier licence; pins use our generated images</t>
        </is>
      </c>
      <c r="Q13" s="3" t="inlineStr">
        <is>
          <t>estimate; confirm on aliexpress.com</t>
        </is>
      </c>
      <c r="R13" s="3" t="inlineStr">
        <is>
          <t>EXCLUDED for Q4 (15+ day quote). Evergreen only if the US options fail AND margin is 10 points better. Duties apply since de minimis ended 29 Aug 2025.</t>
        </is>
      </c>
    </row>
    <row r="14">
      <c r="A14" s="2" t="inlineStr">
        <is>
          <t>Q05</t>
        </is>
      </c>
      <c r="B14" s="2" t="inlineStr">
        <is>
          <t>Pink reusable party cups, 16 oz pack</t>
        </is>
      </c>
      <c r="C14" s="2" t="inlineStr">
        <is>
          <t>winner</t>
        </is>
      </c>
      <c r="D14" s="2" t="inlineStr">
        <is>
          <t>CJ Dropshipping (US warehouse filter)</t>
        </is>
      </c>
      <c r="E14" s="2" t="inlineStr">
        <is>
          <t>https://cjdropshipping.com/search/reusable+plastic+party+cups+pink+16oz+pack.html</t>
        </is>
      </c>
      <c r="F14" s="4" t="n">
        <v>10.4</v>
      </c>
      <c r="G14" s="4" t="n">
        <v>5.5</v>
      </c>
      <c r="H14" s="4" t="n">
        <v>5.5</v>
      </c>
      <c r="I14" s="2" t="inlineStr">
        <is>
          <t>4 to 9 days (1 to 3 processing + 3 to 6 transit, cjdropshipping.com via snippet)</t>
        </is>
      </c>
      <c r="J14" s="2" t="inlineStr">
        <is>
          <t>4 to 9 days (1 to 3 processing + 3 to 6 transit, cjdropshipping.com via snippet)</t>
        </is>
      </c>
      <c r="K14" s="4" t="n">
        <v>9</v>
      </c>
      <c r="L14" s="2" t="inlineStr">
        <is>
          <t>US (NJ or CA)</t>
        </is>
      </c>
      <c r="M14" s="2" t="n">
        <v>1</v>
      </c>
      <c r="N14" s="2" t="inlineStr">
        <is>
          <t>unbranded mailer (confirm)</t>
        </is>
      </c>
      <c r="O14" s="2" t="inlineStr">
        <is>
          <t>CJ: refund or resend for damaged, wrong or lost items; change-of-mind returns at buyer cost. Confirm on cjdropshipping.com (return policy page).</t>
        </is>
      </c>
      <c r="P14" s="2" t="inlineStr">
        <is>
          <t>listing photos usable for the product page after checking the supplier licence; pins use our generated images</t>
        </is>
      </c>
      <c r="Q14" s="2" t="inlineStr">
        <is>
          <t>estimate: cost = 40% of the US retail seen (Zendrop guide ratio $8 to $12 product on $25 retail); confirm on cjdropshipping.com</t>
        </is>
      </c>
      <c r="R14" s="2" t="inlineStr">
        <is>
          <t>Search 'reusable plastic party cups pink 16oz pack' with the US Warehouse filter on. Shipping: 8 oz to 1 lb, estimate $5.50 (CJ 'about $5' example).</t>
        </is>
      </c>
    </row>
    <row r="15">
      <c r="A15" s="3" t="inlineStr">
        <is>
          <t>Q05</t>
        </is>
      </c>
      <c r="B15" s="3" t="inlineStr">
        <is>
          <t>Pink reusable party cups, 16 oz pack</t>
        </is>
      </c>
      <c r="C15" s="3" t="inlineStr">
        <is>
          <t>backup</t>
        </is>
      </c>
      <c r="D15" s="3" t="inlineStr">
        <is>
          <t>Zendrop (Ships From: US filter)</t>
        </is>
      </c>
      <c r="E15" s="3" t="inlineStr">
        <is>
          <t>https://app.zendrop.com/ (search 'reusable plastic party cups pink 16oz pack', Ships From: US)</t>
        </is>
      </c>
      <c r="F15" s="5" t="n">
        <v>11.44</v>
      </c>
      <c r="G15" s="5" t="n">
        <v>5.5</v>
      </c>
      <c r="H15" s="5" t="n">
        <v>5.5</v>
      </c>
      <c r="I15" s="3" t="inlineStr">
        <is>
          <t>3 to 11 days (1 to 3 business days processing + 2 to 8 days, support.zendrop.com via snippet)</t>
        </is>
      </c>
      <c r="J15" s="3" t="inlineStr">
        <is>
          <t>3 to 11 days (1 to 3 business days processing + 2 to 8 days, support.zendrop.com via snippet)</t>
        </is>
      </c>
      <c r="K15" s="5" t="n">
        <v>11</v>
      </c>
      <c r="L15" s="3" t="inlineStr">
        <is>
          <t>US</t>
        </is>
      </c>
      <c r="M15" s="3" t="n">
        <v>1</v>
      </c>
      <c r="N15" s="3" t="inlineStr">
        <is>
          <t>unbranded mailer (confirm)</t>
        </is>
      </c>
      <c r="O15" s="3" t="inlineStr">
        <is>
          <t>Zendrop: refund or replacement for damaged or lost orders; change-of-mind returns not covered. Confirm on support.zendrop.com.</t>
        </is>
      </c>
      <c r="P15" s="3" t="inlineStr">
        <is>
          <t>listing photos usable for the product page after checking the supplier licence; pins use our generated images</t>
        </is>
      </c>
      <c r="Q15" s="3" t="inlineStr">
        <is>
          <t>estimate; confirm on app.zendrop.com</t>
        </is>
      </c>
      <c r="R15" s="3" t="inlineStr">
        <is>
          <t>Needs a paid Zendrop plan ($29/month for 1 to 20 linked products). Cost estimate = CJ estimate + 10%. Search 'reusable plastic party cups pink 16oz pack'.</t>
        </is>
      </c>
    </row>
    <row r="16">
      <c r="A16" s="3" t="inlineStr">
        <is>
          <t>Q05</t>
        </is>
      </c>
      <c r="B16" s="3" t="inlineStr">
        <is>
          <t>Pink reusable party cups, 16 oz pack</t>
        </is>
      </c>
      <c r="C16" s="3" t="inlineStr">
        <is>
          <t>last-resort</t>
        </is>
      </c>
      <c r="D16" s="3" t="inlineStr">
        <is>
          <t>AliExpress Choice (non-US, last resort)</t>
        </is>
      </c>
      <c r="E16" s="3" t="inlineStr">
        <is>
          <t>https://www.aliexpress.us/w/wholesale-reusable-plastic-party-cups-pink-16oz-pack.html</t>
        </is>
      </c>
      <c r="F16" s="5" t="n">
        <v>6.24</v>
      </c>
      <c r="G16" s="5" t="n">
        <v>0</v>
      </c>
      <c r="H16" s="5" t="n">
        <v>0</v>
      </c>
      <c r="I16" s="3" t="inlineStr">
        <is>
          <t>7 to 15 days quoted on most Choice listings; exceeds the 10-day rule</t>
        </is>
      </c>
      <c r="J16" s="3" t="inlineStr">
        <is>
          <t>7 to 15 days quoted on most Choice listings; exceeds the 10-day rule</t>
        </is>
      </c>
      <c r="K16" s="5" t="n">
        <v>15</v>
      </c>
      <c r="L16" s="3" t="inlineStr">
        <is>
          <t>China</t>
        </is>
      </c>
      <c r="M16" s="3" t="n">
        <v>1</v>
      </c>
      <c r="N16" s="3" t="inlineStr">
        <is>
          <t>unbranded mailer (confirm)</t>
        </is>
      </c>
      <c r="O16" s="3" t="inlineStr">
        <is>
          <t>AliExpress Choice: free returns within 15 days on Choice items per AliExpress; the store still owes the customer a US return route. Confirm on aliexpress.com.</t>
        </is>
      </c>
      <c r="P16" s="3" t="inlineStr">
        <is>
          <t>listing photos usable for the product page after checking the supplier licence; pins use our generated images</t>
        </is>
      </c>
      <c r="Q16" s="3" t="inlineStr">
        <is>
          <t>estimate; confirm on aliexpress.com</t>
        </is>
      </c>
      <c r="R16" s="3" t="inlineStr">
        <is>
          <t>EXCLUDED for Q4 (15+ day quote). Evergreen only if the US options fail AND margin is 10 points better. Duties apply since de minimis ended 29 Aug 2025.</t>
        </is>
      </c>
    </row>
    <row r="17">
      <c r="A17" s="2" t="inlineStr">
        <is>
          <t>Q06</t>
        </is>
      </c>
      <c r="B17" s="2" t="inlineStr">
        <is>
          <t>Pink velvet Christmas tree bows, 24 pack</t>
        </is>
      </c>
      <c r="C17" s="2" t="inlineStr">
        <is>
          <t>winner</t>
        </is>
      </c>
      <c r="D17" s="2" t="inlineStr">
        <is>
          <t>CJ Dropshipping (US warehouse filter)</t>
        </is>
      </c>
      <c r="E17" s="2" t="inlineStr">
        <is>
          <t>https://cjdropshipping.com/search/velvet+christmas+bows+pink+wired+24.html</t>
        </is>
      </c>
      <c r="F17" s="4" t="n">
        <v>7</v>
      </c>
      <c r="G17" s="4" t="n">
        <v>5.5</v>
      </c>
      <c r="H17" s="4" t="n">
        <v>5.5</v>
      </c>
      <c r="I17" s="2" t="inlineStr">
        <is>
          <t>4 to 9 days (1 to 3 processing + 3 to 6 transit, cjdropshipping.com via snippet)</t>
        </is>
      </c>
      <c r="J17" s="2" t="inlineStr">
        <is>
          <t>4 to 9 days (1 to 3 processing + 3 to 6 transit, cjdropshipping.com via snippet)</t>
        </is>
      </c>
      <c r="K17" s="4" t="n">
        <v>9</v>
      </c>
      <c r="L17" s="2" t="inlineStr">
        <is>
          <t>US (NJ or CA)</t>
        </is>
      </c>
      <c r="M17" s="2" t="n">
        <v>1</v>
      </c>
      <c r="N17" s="2" t="inlineStr">
        <is>
          <t>unbranded mailer (confirm)</t>
        </is>
      </c>
      <c r="O17" s="2" t="inlineStr">
        <is>
          <t>CJ: refund or resend for damaged, wrong or lost items; change-of-mind returns at buyer cost. Confirm on cjdropshipping.com (return policy page).</t>
        </is>
      </c>
      <c r="P17" s="2" t="inlineStr">
        <is>
          <t>listing photos usable for the product page after checking the supplier licence; pins use our generated images</t>
        </is>
      </c>
      <c r="Q17" s="2" t="inlineStr">
        <is>
          <t>estimate: cost = 40% of the US retail seen (Zendrop guide ratio $8 to $12 product on $25 retail); confirm on cjdropshipping.com</t>
        </is>
      </c>
      <c r="R17" s="2" t="inlineStr">
        <is>
          <t>Search 'velvet christmas bows pink wired 24' with the US Warehouse filter on. Shipping: 8 oz to 1 lb, estimate $5.50 (CJ 'about $5' example).</t>
        </is>
      </c>
    </row>
    <row r="18">
      <c r="A18" s="3" t="inlineStr">
        <is>
          <t>Q06</t>
        </is>
      </c>
      <c r="B18" s="3" t="inlineStr">
        <is>
          <t>Pink velvet Christmas tree bows, 24 pack</t>
        </is>
      </c>
      <c r="C18" s="3" t="inlineStr">
        <is>
          <t>backup</t>
        </is>
      </c>
      <c r="D18" s="3" t="inlineStr">
        <is>
          <t>Zendrop (Ships From: US filter)</t>
        </is>
      </c>
      <c r="E18" s="3" t="inlineStr">
        <is>
          <t>https://app.zendrop.com/ (search 'velvet christmas bows pink wired 24', Ships From: US)</t>
        </is>
      </c>
      <c r="F18" s="5" t="n">
        <v>7.7</v>
      </c>
      <c r="G18" s="5" t="n">
        <v>5.5</v>
      </c>
      <c r="H18" s="5" t="n">
        <v>5.5</v>
      </c>
      <c r="I18" s="3" t="inlineStr">
        <is>
          <t>3 to 11 days (1 to 3 business days processing + 2 to 8 days, support.zendrop.com via snippet)</t>
        </is>
      </c>
      <c r="J18" s="3" t="inlineStr">
        <is>
          <t>3 to 11 days (1 to 3 business days processing + 2 to 8 days, support.zendrop.com via snippet)</t>
        </is>
      </c>
      <c r="K18" s="5" t="n">
        <v>11</v>
      </c>
      <c r="L18" s="3" t="inlineStr">
        <is>
          <t>US</t>
        </is>
      </c>
      <c r="M18" s="3" t="n">
        <v>1</v>
      </c>
      <c r="N18" s="3" t="inlineStr">
        <is>
          <t>unbranded mailer (confirm)</t>
        </is>
      </c>
      <c r="O18" s="3" t="inlineStr">
        <is>
          <t>Zendrop: refund or replacement for damaged or lost orders; change-of-mind returns not covered. Confirm on support.zendrop.com.</t>
        </is>
      </c>
      <c r="P18" s="3" t="inlineStr">
        <is>
          <t>listing photos usable for the product page after checking the supplier licence; pins use our generated images</t>
        </is>
      </c>
      <c r="Q18" s="3" t="inlineStr">
        <is>
          <t>estimate; confirm on app.zendrop.com</t>
        </is>
      </c>
      <c r="R18" s="3" t="inlineStr">
        <is>
          <t>Needs a paid Zendrop plan ($29/month for 1 to 20 linked products). Cost estimate = CJ estimate + 10%. Search 'velvet christmas bows pink wired 24'.</t>
        </is>
      </c>
    </row>
    <row r="19">
      <c r="A19" s="3" t="inlineStr">
        <is>
          <t>Q06</t>
        </is>
      </c>
      <c r="B19" s="3" t="inlineStr">
        <is>
          <t>Pink velvet Christmas tree bows, 24 pack</t>
        </is>
      </c>
      <c r="C19" s="3" t="inlineStr">
        <is>
          <t>last-resort</t>
        </is>
      </c>
      <c r="D19" s="3" t="inlineStr">
        <is>
          <t>AliExpress Choice (non-US, last resort)</t>
        </is>
      </c>
      <c r="E19" s="3" t="inlineStr">
        <is>
          <t>https://www.aliexpress.us/w/wholesale-velvet-christmas-bows-pink-wired-24.html</t>
        </is>
      </c>
      <c r="F19" s="5" t="n">
        <v>4.2</v>
      </c>
      <c r="G19" s="5" t="n">
        <v>0</v>
      </c>
      <c r="H19" s="5" t="n">
        <v>0</v>
      </c>
      <c r="I19" s="3" t="inlineStr">
        <is>
          <t>7 to 15 days quoted on most Choice listings; exceeds the 10-day rule</t>
        </is>
      </c>
      <c r="J19" s="3" t="inlineStr">
        <is>
          <t>7 to 15 days quoted on most Choice listings; exceeds the 10-day rule</t>
        </is>
      </c>
      <c r="K19" s="5" t="n">
        <v>15</v>
      </c>
      <c r="L19" s="3" t="inlineStr">
        <is>
          <t>China</t>
        </is>
      </c>
      <c r="M19" s="3" t="n">
        <v>1</v>
      </c>
      <c r="N19" s="3" t="inlineStr">
        <is>
          <t>unbranded mailer (confirm)</t>
        </is>
      </c>
      <c r="O19" s="3" t="inlineStr">
        <is>
          <t>AliExpress Choice: free returns within 15 days on Choice items per AliExpress; the store still owes the customer a US return route. Confirm on aliexpress.com.</t>
        </is>
      </c>
      <c r="P19" s="3" t="inlineStr">
        <is>
          <t>listing photos usable for the product page after checking the supplier licence; pins use our generated images</t>
        </is>
      </c>
      <c r="Q19" s="3" t="inlineStr">
        <is>
          <t>estimate; confirm on aliexpress.com</t>
        </is>
      </c>
      <c r="R19" s="3" t="inlineStr">
        <is>
          <t>EXCLUDED for Q4 (15+ day quote). Evergreen only if the US options fail AND margin is 10 points better. Duties apply since de minimis ended 29 Aug 2025.</t>
        </is>
      </c>
    </row>
    <row r="20">
      <c r="A20" s="2" t="inlineStr">
        <is>
          <t>Q07</t>
        </is>
      </c>
      <c r="B20" s="2" t="inlineStr">
        <is>
          <t>Pink velvet bow garland, 6 ft</t>
        </is>
      </c>
      <c r="C20" s="2" t="inlineStr">
        <is>
          <t>winner</t>
        </is>
      </c>
      <c r="D20" s="2" t="inlineStr">
        <is>
          <t>CJ Dropshipping (US warehouse filter)</t>
        </is>
      </c>
      <c r="E20" s="2" t="inlineStr">
        <is>
          <t>https://cjdropshipping.com/search/velvet+bow+garland+pink+christmas.html</t>
        </is>
      </c>
      <c r="F20" s="4" t="n">
        <v>8</v>
      </c>
      <c r="G20" s="4" t="n">
        <v>5.5</v>
      </c>
      <c r="H20" s="4" t="n">
        <v>5.5</v>
      </c>
      <c r="I20" s="2" t="inlineStr">
        <is>
          <t>4 to 9 days (1 to 3 processing + 3 to 6 transit, cjdropshipping.com via snippet)</t>
        </is>
      </c>
      <c r="J20" s="2" t="inlineStr">
        <is>
          <t>4 to 9 days (1 to 3 processing + 3 to 6 transit, cjdropshipping.com via snippet)</t>
        </is>
      </c>
      <c r="K20" s="4" t="n">
        <v>9</v>
      </c>
      <c r="L20" s="2" t="inlineStr">
        <is>
          <t>US (NJ or CA)</t>
        </is>
      </c>
      <c r="M20" s="2" t="n">
        <v>1</v>
      </c>
      <c r="N20" s="2" t="inlineStr">
        <is>
          <t>unbranded mailer (confirm)</t>
        </is>
      </c>
      <c r="O20" s="2" t="inlineStr">
        <is>
          <t>CJ: refund or resend for damaged, wrong or lost items; change-of-mind returns at buyer cost. Confirm on cjdropshipping.com (return policy page).</t>
        </is>
      </c>
      <c r="P20" s="2" t="inlineStr">
        <is>
          <t>listing photos usable for the product page after checking the supplier licence; pins use our generated images</t>
        </is>
      </c>
      <c r="Q20" s="2" t="inlineStr">
        <is>
          <t>estimate: cost = 40% of the US retail seen (Zendrop guide ratio $8 to $12 product on $25 retail); confirm on cjdropshipping.com</t>
        </is>
      </c>
      <c r="R20" s="2" t="inlineStr">
        <is>
          <t>Search 'velvet bow garland pink christmas' with the US Warehouse filter on. Shipping: 8 oz to 1 lb, estimate $5.50 (CJ 'about $5' example).</t>
        </is>
      </c>
    </row>
    <row r="21">
      <c r="A21" s="3" t="inlineStr">
        <is>
          <t>Q07</t>
        </is>
      </c>
      <c r="B21" s="3" t="inlineStr">
        <is>
          <t>Pink velvet bow garland, 6 ft</t>
        </is>
      </c>
      <c r="C21" s="3" t="inlineStr">
        <is>
          <t>backup</t>
        </is>
      </c>
      <c r="D21" s="3" t="inlineStr">
        <is>
          <t>Zendrop (Ships From: US filter)</t>
        </is>
      </c>
      <c r="E21" s="3" t="inlineStr">
        <is>
          <t>https://app.zendrop.com/ (search 'velvet bow garland pink christmas', Ships From: US)</t>
        </is>
      </c>
      <c r="F21" s="5" t="n">
        <v>8.800000000000001</v>
      </c>
      <c r="G21" s="5" t="n">
        <v>5.5</v>
      </c>
      <c r="H21" s="5" t="n">
        <v>5.5</v>
      </c>
      <c r="I21" s="3" t="inlineStr">
        <is>
          <t>3 to 11 days (1 to 3 business days processing + 2 to 8 days, support.zendrop.com via snippet)</t>
        </is>
      </c>
      <c r="J21" s="3" t="inlineStr">
        <is>
          <t>3 to 11 days (1 to 3 business days processing + 2 to 8 days, support.zendrop.com via snippet)</t>
        </is>
      </c>
      <c r="K21" s="5" t="n">
        <v>11</v>
      </c>
      <c r="L21" s="3" t="inlineStr">
        <is>
          <t>US</t>
        </is>
      </c>
      <c r="M21" s="3" t="n">
        <v>1</v>
      </c>
      <c r="N21" s="3" t="inlineStr">
        <is>
          <t>unbranded mailer (confirm)</t>
        </is>
      </c>
      <c r="O21" s="3" t="inlineStr">
        <is>
          <t>Zendrop: refund or replacement for damaged or lost orders; change-of-mind returns not covered. Confirm on support.zendrop.com.</t>
        </is>
      </c>
      <c r="P21" s="3" t="inlineStr">
        <is>
          <t>listing photos usable for the product page after checking the supplier licence; pins use our generated images</t>
        </is>
      </c>
      <c r="Q21" s="3" t="inlineStr">
        <is>
          <t>estimate; confirm on app.zendrop.com</t>
        </is>
      </c>
      <c r="R21" s="3" t="inlineStr">
        <is>
          <t>Needs a paid Zendrop plan ($29/month for 1 to 20 linked products). Cost estimate = CJ estimate + 10%. Search 'velvet bow garland pink christmas'.</t>
        </is>
      </c>
    </row>
    <row r="22">
      <c r="A22" s="3" t="inlineStr">
        <is>
          <t>Q07</t>
        </is>
      </c>
      <c r="B22" s="3" t="inlineStr">
        <is>
          <t>Pink velvet bow garland, 6 ft</t>
        </is>
      </c>
      <c r="C22" s="3" t="inlineStr">
        <is>
          <t>last-resort</t>
        </is>
      </c>
      <c r="D22" s="3" t="inlineStr">
        <is>
          <t>AliExpress Choice (non-US, last resort)</t>
        </is>
      </c>
      <c r="E22" s="3" t="inlineStr">
        <is>
          <t>https://www.aliexpress.us/w/wholesale-velvet-bow-garland-pink-christmas.html</t>
        </is>
      </c>
      <c r="F22" s="5" t="n">
        <v>4.8</v>
      </c>
      <c r="G22" s="5" t="n">
        <v>0</v>
      </c>
      <c r="H22" s="5" t="n">
        <v>0</v>
      </c>
      <c r="I22" s="3" t="inlineStr">
        <is>
          <t>7 to 15 days quoted on most Choice listings; exceeds the 10-day rule</t>
        </is>
      </c>
      <c r="J22" s="3" t="inlineStr">
        <is>
          <t>7 to 15 days quoted on most Choice listings; exceeds the 10-day rule</t>
        </is>
      </c>
      <c r="K22" s="5" t="n">
        <v>15</v>
      </c>
      <c r="L22" s="3" t="inlineStr">
        <is>
          <t>China</t>
        </is>
      </c>
      <c r="M22" s="3" t="n">
        <v>1</v>
      </c>
      <c r="N22" s="3" t="inlineStr">
        <is>
          <t>unbranded mailer (confirm)</t>
        </is>
      </c>
      <c r="O22" s="3" t="inlineStr">
        <is>
          <t>AliExpress Choice: free returns within 15 days on Choice items per AliExpress; the store still owes the customer a US return route. Confirm on aliexpress.com.</t>
        </is>
      </c>
      <c r="P22" s="3" t="inlineStr">
        <is>
          <t>listing photos usable for the product page after checking the supplier licence; pins use our generated images</t>
        </is>
      </c>
      <c r="Q22" s="3" t="inlineStr">
        <is>
          <t>estimate; confirm on aliexpress.com</t>
        </is>
      </c>
      <c r="R22" s="3" t="inlineStr">
        <is>
          <t>EXCLUDED for Q4 (15+ day quote). Evergreen only if the US options fail AND margin is 10 points better. Duties apply since de minimis ended 29 Aug 2025.</t>
        </is>
      </c>
    </row>
    <row r="23">
      <c r="A23" s="2" t="inlineStr">
        <is>
          <t>Q08</t>
        </is>
      </c>
      <c r="B23" s="2" t="inlineStr">
        <is>
          <t>Pink shatterproof ornament set, 45 pieces</t>
        </is>
      </c>
      <c r="C23" s="2" t="inlineStr">
        <is>
          <t>winner</t>
        </is>
      </c>
      <c r="D23" s="2" t="inlineStr">
        <is>
          <t>CJ Dropshipping (US warehouse filter)</t>
        </is>
      </c>
      <c r="E23" s="2" t="inlineStr">
        <is>
          <t>https://cjdropshipping.com/search/shatterproof+christmas+ornaments+pink+set.html</t>
        </is>
      </c>
      <c r="F23" s="4" t="n">
        <v>9</v>
      </c>
      <c r="G23" s="4" t="n">
        <v>8.15</v>
      </c>
      <c r="H23" s="4" t="n">
        <v>8.15</v>
      </c>
      <c r="I23" s="2" t="inlineStr">
        <is>
          <t>4 to 9 days (1 to 3 processing + 3 to 6 transit, cjdropshipping.com via snippet)</t>
        </is>
      </c>
      <c r="J23" s="2" t="inlineStr">
        <is>
          <t>4 to 9 days (1 to 3 processing + 3 to 6 transit, cjdropshipping.com via snippet)</t>
        </is>
      </c>
      <c r="K23" s="4" t="n">
        <v>9</v>
      </c>
      <c r="L23" s="2" t="inlineStr">
        <is>
          <t>US (NJ or CA)</t>
        </is>
      </c>
      <c r="M23" s="2" t="n">
        <v>1</v>
      </c>
      <c r="N23" s="2" t="inlineStr">
        <is>
          <t>unbranded mailer (confirm)</t>
        </is>
      </c>
      <c r="O23" s="2" t="inlineStr">
        <is>
          <t>CJ: refund or resend for damaged, wrong or lost items; change-of-mind returns at buyer cost. Confirm on cjdropshipping.com (return policy page).</t>
        </is>
      </c>
      <c r="P23" s="2" t="inlineStr">
        <is>
          <t>listing photos usable for the product page after checking the supplier licence; pins use our generated images</t>
        </is>
      </c>
      <c r="Q23" s="2" t="inlineStr">
        <is>
          <t>estimate: cost = 40% of the US retail seen (Zendrop guide ratio $8 to $12 product on $25 retail); confirm on cjdropshipping.com</t>
        </is>
      </c>
      <c r="R23" s="2" t="inlineStr">
        <is>
          <t>Search 'shatterproof christmas ornaments pink set' with the US Warehouse filter on. Shipping: 1 to 2 lb, USPS Ground Advantage commercial 1 lb zone 4 $8.15 seen.</t>
        </is>
      </c>
    </row>
    <row r="24">
      <c r="A24" s="3" t="inlineStr">
        <is>
          <t>Q08</t>
        </is>
      </c>
      <c r="B24" s="3" t="inlineStr">
        <is>
          <t>Pink shatterproof ornament set, 45 pieces</t>
        </is>
      </c>
      <c r="C24" s="3" t="inlineStr">
        <is>
          <t>backup</t>
        </is>
      </c>
      <c r="D24" s="3" t="inlineStr">
        <is>
          <t>Zendrop (Ships From: US filter)</t>
        </is>
      </c>
      <c r="E24" s="3" t="inlineStr">
        <is>
          <t>https://app.zendrop.com/ (search 'shatterproof christmas ornaments pink set', Ships From: US)</t>
        </is>
      </c>
      <c r="F24" s="5" t="n">
        <v>9.9</v>
      </c>
      <c r="G24" s="5" t="n">
        <v>8.15</v>
      </c>
      <c r="H24" s="5" t="n">
        <v>8.15</v>
      </c>
      <c r="I24" s="3" t="inlineStr">
        <is>
          <t>3 to 11 days (1 to 3 business days processing + 2 to 8 days, support.zendrop.com via snippet)</t>
        </is>
      </c>
      <c r="J24" s="3" t="inlineStr">
        <is>
          <t>3 to 11 days (1 to 3 business days processing + 2 to 8 days, support.zendrop.com via snippet)</t>
        </is>
      </c>
      <c r="K24" s="5" t="n">
        <v>11</v>
      </c>
      <c r="L24" s="3" t="inlineStr">
        <is>
          <t>US</t>
        </is>
      </c>
      <c r="M24" s="3" t="n">
        <v>1</v>
      </c>
      <c r="N24" s="3" t="inlineStr">
        <is>
          <t>unbranded mailer (confirm)</t>
        </is>
      </c>
      <c r="O24" s="3" t="inlineStr">
        <is>
          <t>Zendrop: refund or replacement for damaged or lost orders; change-of-mind returns not covered. Confirm on support.zendrop.com.</t>
        </is>
      </c>
      <c r="P24" s="3" t="inlineStr">
        <is>
          <t>listing photos usable for the product page after checking the supplier licence; pins use our generated images</t>
        </is>
      </c>
      <c r="Q24" s="3" t="inlineStr">
        <is>
          <t>estimate; confirm on app.zendrop.com</t>
        </is>
      </c>
      <c r="R24" s="3" t="inlineStr">
        <is>
          <t>Needs a paid Zendrop plan ($29/month for 1 to 20 linked products). Cost estimate = CJ estimate + 10%. Search 'shatterproof christmas ornaments pink set'.</t>
        </is>
      </c>
    </row>
    <row r="25">
      <c r="A25" s="3" t="inlineStr">
        <is>
          <t>Q08</t>
        </is>
      </c>
      <c r="B25" s="3" t="inlineStr">
        <is>
          <t>Pink shatterproof ornament set, 45 pieces</t>
        </is>
      </c>
      <c r="C25" s="3" t="inlineStr">
        <is>
          <t>last-resort</t>
        </is>
      </c>
      <c r="D25" s="3" t="inlineStr">
        <is>
          <t>AliExpress Choice (non-US, last resort)</t>
        </is>
      </c>
      <c r="E25" s="3" t="inlineStr">
        <is>
          <t>https://www.aliexpress.us/w/wholesale-shatterproof-christmas-ornaments-pink-set.html</t>
        </is>
      </c>
      <c r="F25" s="5" t="n">
        <v>5.4</v>
      </c>
      <c r="G25" s="5" t="n">
        <v>0</v>
      </c>
      <c r="H25" s="5" t="n">
        <v>0</v>
      </c>
      <c r="I25" s="3" t="inlineStr">
        <is>
          <t>7 to 15 days quoted on most Choice listings; exceeds the 10-day rule</t>
        </is>
      </c>
      <c r="J25" s="3" t="inlineStr">
        <is>
          <t>7 to 15 days quoted on most Choice listings; exceeds the 10-day rule</t>
        </is>
      </c>
      <c r="K25" s="5" t="n">
        <v>15</v>
      </c>
      <c r="L25" s="3" t="inlineStr">
        <is>
          <t>China</t>
        </is>
      </c>
      <c r="M25" s="3" t="n">
        <v>1</v>
      </c>
      <c r="N25" s="3" t="inlineStr">
        <is>
          <t>unbranded mailer (confirm)</t>
        </is>
      </c>
      <c r="O25" s="3" t="inlineStr">
        <is>
          <t>AliExpress Choice: free returns within 15 days on Choice items per AliExpress; the store still owes the customer a US return route. Confirm on aliexpress.com.</t>
        </is>
      </c>
      <c r="P25" s="3" t="inlineStr">
        <is>
          <t>listing photos usable for the product page after checking the supplier licence; pins use our generated images</t>
        </is>
      </c>
      <c r="Q25" s="3" t="inlineStr">
        <is>
          <t>estimate; confirm on aliexpress.com</t>
        </is>
      </c>
      <c r="R25" s="3" t="inlineStr">
        <is>
          <t>EXCLUDED for Q4 (15+ day quote). Evergreen only if the US options fail AND margin is 10 points better. Duties apply since de minimis ended 29 Aug 2025.</t>
        </is>
      </c>
    </row>
    <row r="26">
      <c r="A26" s="2" t="inlineStr">
        <is>
          <t>Q09</t>
        </is>
      </c>
      <c r="B26" s="2" t="inlineStr">
        <is>
          <t>Pink velvet Christmas stocking with bow</t>
        </is>
      </c>
      <c r="C26" s="2" t="inlineStr">
        <is>
          <t>winner</t>
        </is>
      </c>
      <c r="D26" s="2" t="inlineStr">
        <is>
          <t>CJ Dropshipping (US warehouse filter)</t>
        </is>
      </c>
      <c r="E26" s="2" t="inlineStr">
        <is>
          <t>https://cjdropshipping.com/search/velvet+christmas+stocking+pink+20+inch.html</t>
        </is>
      </c>
      <c r="F26" s="4" t="n">
        <v>5</v>
      </c>
      <c r="G26" s="4" t="n">
        <v>4.5</v>
      </c>
      <c r="H26" s="4" t="n">
        <v>4.5</v>
      </c>
      <c r="I26" s="2" t="inlineStr">
        <is>
          <t>4 to 9 days (1 to 3 processing + 3 to 6 transit, cjdropshipping.com via snippet)</t>
        </is>
      </c>
      <c r="J26" s="2" t="inlineStr">
        <is>
          <t>4 to 9 days (1 to 3 processing + 3 to 6 transit, cjdropshipping.com via snippet)</t>
        </is>
      </c>
      <c r="K26" s="4" t="n">
        <v>9</v>
      </c>
      <c r="L26" s="2" t="inlineStr">
        <is>
          <t>US (NJ or CA)</t>
        </is>
      </c>
      <c r="M26" s="2" t="n">
        <v>1</v>
      </c>
      <c r="N26" s="2" t="inlineStr">
        <is>
          <t>unbranded mailer (confirm)</t>
        </is>
      </c>
      <c r="O26" s="2" t="inlineStr">
        <is>
          <t>CJ: refund or resend for damaged, wrong or lost items; change-of-mind returns at buyer cost. Confirm on cjdropshipping.com (return policy page).</t>
        </is>
      </c>
      <c r="P26" s="2" t="inlineStr">
        <is>
          <t>listing photos usable for the product page after checking the supplier licence; pins use our generated images</t>
        </is>
      </c>
      <c r="Q26" s="2" t="inlineStr">
        <is>
          <t>estimate: cost = 40% of the US retail seen (Zendrop guide ratio $8 to $12 product on $25 retail); confirm on cjdropshipping.com</t>
        </is>
      </c>
      <c r="R26" s="2" t="inlineStr">
        <is>
          <t>Search 'velvet christmas stocking pink 20 inch' with the US Warehouse filter on. Shipping: under 8 oz, estimate $4.50 (Zendrop $4 to $6 band).</t>
        </is>
      </c>
    </row>
    <row r="27">
      <c r="A27" s="3" t="inlineStr">
        <is>
          <t>Q09</t>
        </is>
      </c>
      <c r="B27" s="3" t="inlineStr">
        <is>
          <t>Pink velvet Christmas stocking with bow</t>
        </is>
      </c>
      <c r="C27" s="3" t="inlineStr">
        <is>
          <t>backup</t>
        </is>
      </c>
      <c r="D27" s="3" t="inlineStr">
        <is>
          <t>Zendrop (Ships From: US filter)</t>
        </is>
      </c>
      <c r="E27" s="3" t="inlineStr">
        <is>
          <t>https://app.zendrop.com/ (search 'velvet christmas stocking pink 20 inch', Ships From: US)</t>
        </is>
      </c>
      <c r="F27" s="5" t="n">
        <v>5.5</v>
      </c>
      <c r="G27" s="5" t="n">
        <v>4.5</v>
      </c>
      <c r="H27" s="5" t="n">
        <v>4.5</v>
      </c>
      <c r="I27" s="3" t="inlineStr">
        <is>
          <t>3 to 11 days (1 to 3 business days processing + 2 to 8 days, support.zendrop.com via snippet)</t>
        </is>
      </c>
      <c r="J27" s="3" t="inlineStr">
        <is>
          <t>3 to 11 days (1 to 3 business days processing + 2 to 8 days, support.zendrop.com via snippet)</t>
        </is>
      </c>
      <c r="K27" s="5" t="n">
        <v>11</v>
      </c>
      <c r="L27" s="3" t="inlineStr">
        <is>
          <t>US</t>
        </is>
      </c>
      <c r="M27" s="3" t="n">
        <v>1</v>
      </c>
      <c r="N27" s="3" t="inlineStr">
        <is>
          <t>unbranded mailer (confirm)</t>
        </is>
      </c>
      <c r="O27" s="3" t="inlineStr">
        <is>
          <t>Zendrop: refund or replacement for damaged or lost orders; change-of-mind returns not covered. Confirm on support.zendrop.com.</t>
        </is>
      </c>
      <c r="P27" s="3" t="inlineStr">
        <is>
          <t>listing photos usable for the product page after checking the supplier licence; pins use our generated images</t>
        </is>
      </c>
      <c r="Q27" s="3" t="inlineStr">
        <is>
          <t>estimate; confirm on app.zendrop.com</t>
        </is>
      </c>
      <c r="R27" s="3" t="inlineStr">
        <is>
          <t>Needs a paid Zendrop plan ($29/month for 1 to 20 linked products). Cost estimate = CJ estimate + 10%. Search 'velvet christmas stocking pink 20 inch'.</t>
        </is>
      </c>
    </row>
    <row r="28">
      <c r="A28" s="3" t="inlineStr">
        <is>
          <t>Q09</t>
        </is>
      </c>
      <c r="B28" s="3" t="inlineStr">
        <is>
          <t>Pink velvet Christmas stocking with bow</t>
        </is>
      </c>
      <c r="C28" s="3" t="inlineStr">
        <is>
          <t>last-resort</t>
        </is>
      </c>
      <c r="D28" s="3" t="inlineStr">
        <is>
          <t>AliExpress Choice (non-US, last resort)</t>
        </is>
      </c>
      <c r="E28" s="3" t="inlineStr">
        <is>
          <t>https://www.aliexpress.us/w/wholesale-velvet-christmas-stocking-pink-20-inch.html</t>
        </is>
      </c>
      <c r="F28" s="5" t="n">
        <v>3</v>
      </c>
      <c r="G28" s="5" t="n">
        <v>0</v>
      </c>
      <c r="H28" s="5" t="n">
        <v>0</v>
      </c>
      <c r="I28" s="3" t="inlineStr">
        <is>
          <t>7 to 15 days quoted on most Choice listings; exceeds the 10-day rule</t>
        </is>
      </c>
      <c r="J28" s="3" t="inlineStr">
        <is>
          <t>7 to 15 days quoted on most Choice listings; exceeds the 10-day rule</t>
        </is>
      </c>
      <c r="K28" s="5" t="n">
        <v>15</v>
      </c>
      <c r="L28" s="3" t="inlineStr">
        <is>
          <t>China</t>
        </is>
      </c>
      <c r="M28" s="3" t="n">
        <v>1</v>
      </c>
      <c r="N28" s="3" t="inlineStr">
        <is>
          <t>unbranded mailer (confirm)</t>
        </is>
      </c>
      <c r="O28" s="3" t="inlineStr">
        <is>
          <t>AliExpress Choice: free returns within 15 days on Choice items per AliExpress; the store still owes the customer a US return route. Confirm on aliexpress.com.</t>
        </is>
      </c>
      <c r="P28" s="3" t="inlineStr">
        <is>
          <t>listing photos usable for the product page after checking the supplier licence; pins use our generated images</t>
        </is>
      </c>
      <c r="Q28" s="3" t="inlineStr">
        <is>
          <t>estimate; confirm on aliexpress.com</t>
        </is>
      </c>
      <c r="R28" s="3" t="inlineStr">
        <is>
          <t>EXCLUDED for Q4 (15+ day quote). Evergreen only if the US options fail AND margin is 10 points better. Duties apply since de minimis ended 29 Aug 2025.</t>
        </is>
      </c>
    </row>
    <row r="29">
      <c r="A29" s="2" t="inlineStr">
        <is>
          <t>Q10</t>
        </is>
      </c>
      <c r="B29" s="2" t="inlineStr">
        <is>
          <t>Pink flocked tabletop Christmas tree, 2 ft, unlit</t>
        </is>
      </c>
      <c r="C29" s="2" t="inlineStr">
        <is>
          <t>winner</t>
        </is>
      </c>
      <c r="D29" s="2" t="inlineStr">
        <is>
          <t>CJ Dropshipping (US warehouse filter)</t>
        </is>
      </c>
      <c r="E29" s="2" t="inlineStr">
        <is>
          <t>https://cjdropshipping.com/search/tabletop+christmas+tree+pink+2ft+flocked.html</t>
        </is>
      </c>
      <c r="F29" s="4" t="n">
        <v>12</v>
      </c>
      <c r="G29" s="4" t="n">
        <v>8.15</v>
      </c>
      <c r="H29" s="4" t="n">
        <v>8.15</v>
      </c>
      <c r="I29" s="2" t="inlineStr">
        <is>
          <t>4 to 9 days (1 to 3 processing + 3 to 6 transit, cjdropshipping.com via snippet)</t>
        </is>
      </c>
      <c r="J29" s="2" t="inlineStr">
        <is>
          <t>4 to 9 days (1 to 3 processing + 3 to 6 transit, cjdropshipping.com via snippet)</t>
        </is>
      </c>
      <c r="K29" s="4" t="n">
        <v>9</v>
      </c>
      <c r="L29" s="2" t="inlineStr">
        <is>
          <t>US (NJ or CA)</t>
        </is>
      </c>
      <c r="M29" s="2" t="n">
        <v>1</v>
      </c>
      <c r="N29" s="2" t="inlineStr">
        <is>
          <t>unbranded mailer (confirm)</t>
        </is>
      </c>
      <c r="O29" s="2" t="inlineStr">
        <is>
          <t>CJ: refund or resend for damaged, wrong or lost items; change-of-mind returns at buyer cost. Confirm on cjdropshipping.com (return policy page).</t>
        </is>
      </c>
      <c r="P29" s="2" t="inlineStr">
        <is>
          <t>listing photos usable for the product page after checking the supplier licence; pins use our generated images</t>
        </is>
      </c>
      <c r="Q29" s="2" t="inlineStr">
        <is>
          <t>estimate: cost = 40% of the US retail seen (Zendrop guide ratio $8 to $12 product on $25 retail); confirm on cjdropshipping.com</t>
        </is>
      </c>
      <c r="R29" s="2" t="inlineStr">
        <is>
          <t>Search 'tabletop christmas tree pink 2ft flocked' with the US Warehouse filter on. Shipping: 1 to 2 lb, USPS Ground Advantage commercial 1 lb zone 4 $8.15 seen.</t>
        </is>
      </c>
    </row>
    <row r="30">
      <c r="A30" s="3" t="inlineStr">
        <is>
          <t>Q10</t>
        </is>
      </c>
      <c r="B30" s="3" t="inlineStr">
        <is>
          <t>Pink flocked tabletop Christmas tree, 2 ft, unlit</t>
        </is>
      </c>
      <c r="C30" s="3" t="inlineStr">
        <is>
          <t>backup</t>
        </is>
      </c>
      <c r="D30" s="3" t="inlineStr">
        <is>
          <t>Zendrop (Ships From: US filter)</t>
        </is>
      </c>
      <c r="E30" s="3" t="inlineStr">
        <is>
          <t>https://app.zendrop.com/ (search 'tabletop christmas tree pink 2ft flocked', Ships From: US)</t>
        </is>
      </c>
      <c r="F30" s="5" t="n">
        <v>13.2</v>
      </c>
      <c r="G30" s="5" t="n">
        <v>8.15</v>
      </c>
      <c r="H30" s="5" t="n">
        <v>8.15</v>
      </c>
      <c r="I30" s="3" t="inlineStr">
        <is>
          <t>3 to 11 days (1 to 3 business days processing + 2 to 8 days, support.zendrop.com via snippet)</t>
        </is>
      </c>
      <c r="J30" s="3" t="inlineStr">
        <is>
          <t>3 to 11 days (1 to 3 business days processing + 2 to 8 days, support.zendrop.com via snippet)</t>
        </is>
      </c>
      <c r="K30" s="5" t="n">
        <v>11</v>
      </c>
      <c r="L30" s="3" t="inlineStr">
        <is>
          <t>US</t>
        </is>
      </c>
      <c r="M30" s="3" t="n">
        <v>1</v>
      </c>
      <c r="N30" s="3" t="inlineStr">
        <is>
          <t>unbranded mailer (confirm)</t>
        </is>
      </c>
      <c r="O30" s="3" t="inlineStr">
        <is>
          <t>Zendrop: refund or replacement for damaged or lost orders; change-of-mind returns not covered. Confirm on support.zendrop.com.</t>
        </is>
      </c>
      <c r="P30" s="3" t="inlineStr">
        <is>
          <t>listing photos usable for the product page after checking the supplier licence; pins use our generated images</t>
        </is>
      </c>
      <c r="Q30" s="3" t="inlineStr">
        <is>
          <t>estimate; confirm on app.zendrop.com</t>
        </is>
      </c>
      <c r="R30" s="3" t="inlineStr">
        <is>
          <t>Needs a paid Zendrop plan ($29/month for 1 to 20 linked products). Cost estimate = CJ estimate + 10%. Search 'tabletop christmas tree pink 2ft flocked'.</t>
        </is>
      </c>
    </row>
    <row r="31">
      <c r="A31" s="3" t="inlineStr">
        <is>
          <t>Q10</t>
        </is>
      </c>
      <c r="B31" s="3" t="inlineStr">
        <is>
          <t>Pink flocked tabletop Christmas tree, 2 ft, unlit</t>
        </is>
      </c>
      <c r="C31" s="3" t="inlineStr">
        <is>
          <t>last-resort</t>
        </is>
      </c>
      <c r="D31" s="3" t="inlineStr">
        <is>
          <t>AliExpress Choice (non-US, last resort)</t>
        </is>
      </c>
      <c r="E31" s="3" t="inlineStr">
        <is>
          <t>https://www.aliexpress.us/w/wholesale-tabletop-christmas-tree-pink-2ft-flocked.html</t>
        </is>
      </c>
      <c r="F31" s="5" t="n">
        <v>7.2</v>
      </c>
      <c r="G31" s="5" t="n">
        <v>0</v>
      </c>
      <c r="H31" s="5" t="n">
        <v>0</v>
      </c>
      <c r="I31" s="3" t="inlineStr">
        <is>
          <t>7 to 15 days quoted on most Choice listings; exceeds the 10-day rule</t>
        </is>
      </c>
      <c r="J31" s="3" t="inlineStr">
        <is>
          <t>7 to 15 days quoted on most Choice listings; exceeds the 10-day rule</t>
        </is>
      </c>
      <c r="K31" s="5" t="n">
        <v>15</v>
      </c>
      <c r="L31" s="3" t="inlineStr">
        <is>
          <t>China</t>
        </is>
      </c>
      <c r="M31" s="3" t="n">
        <v>1</v>
      </c>
      <c r="N31" s="3" t="inlineStr">
        <is>
          <t>unbranded mailer (confirm)</t>
        </is>
      </c>
      <c r="O31" s="3" t="inlineStr">
        <is>
          <t>AliExpress Choice: free returns within 15 days on Choice items per AliExpress; the store still owes the customer a US return route. Confirm on aliexpress.com.</t>
        </is>
      </c>
      <c r="P31" s="3" t="inlineStr">
        <is>
          <t>listing photos usable for the product page after checking the supplier licence; pins use our generated images</t>
        </is>
      </c>
      <c r="Q31" s="3" t="inlineStr">
        <is>
          <t>estimate; confirm on aliexpress.com</t>
        </is>
      </c>
      <c r="R31" s="3" t="inlineStr">
        <is>
          <t>EXCLUDED for Q4 (15+ day quote). Evergreen only if the US options fail AND margin is 10 points better. Duties apply since de minimis ended 29 Aug 2025.</t>
        </is>
      </c>
    </row>
    <row r="32">
      <c r="A32" s="2" t="inlineStr">
        <is>
          <t>Q11</t>
        </is>
      </c>
      <c r="B32" s="2" t="inlineStr">
        <is>
          <t>Pink 40 oz insulated tumbler with handle and straw</t>
        </is>
      </c>
      <c r="C32" s="2" t="inlineStr">
        <is>
          <t>winner</t>
        </is>
      </c>
      <c r="D32" s="2" t="inlineStr">
        <is>
          <t>CJ Dropshipping (US warehouse filter)</t>
        </is>
      </c>
      <c r="E32" s="2" t="inlineStr">
        <is>
          <t>https://cjdropshipping.com/search/40oz+tumbler+with+handle.html</t>
        </is>
      </c>
      <c r="F32" s="4" t="n">
        <v>9</v>
      </c>
      <c r="G32" s="4" t="n">
        <v>8.15</v>
      </c>
      <c r="H32" s="4" t="n">
        <v>8.15</v>
      </c>
      <c r="I32" s="2" t="inlineStr">
        <is>
          <t>4 to 9 days (1 to 3 processing + 3 to 6 transit, cjdropshipping.com via snippet)</t>
        </is>
      </c>
      <c r="J32" s="2" t="inlineStr">
        <is>
          <t>4 to 9 days (1 to 3 processing + 3 to 6 transit, cjdropshipping.com via snippet)</t>
        </is>
      </c>
      <c r="K32" s="4" t="n">
        <v>9</v>
      </c>
      <c r="L32" s="2" t="inlineStr">
        <is>
          <t>US (NJ or CA)</t>
        </is>
      </c>
      <c r="M32" s="2" t="n">
        <v>1</v>
      </c>
      <c r="N32" s="2" t="inlineStr">
        <is>
          <t>unbranded mailer (confirm)</t>
        </is>
      </c>
      <c r="O32" s="2" t="inlineStr">
        <is>
          <t>CJ: refund or resend for damaged, wrong or lost items; change-of-mind returns at buyer cost. Confirm on cjdropshipping.com (return policy page).</t>
        </is>
      </c>
      <c r="P32" s="2" t="inlineStr">
        <is>
          <t>listing photos usable for the product page after checking the supplier licence; pins use our generated images</t>
        </is>
      </c>
      <c r="Q32" s="2" t="inlineStr">
        <is>
          <t>listing found via search; price not visible in snippet, cost is an estimate; confirm on cjdropshipping.com</t>
        </is>
      </c>
      <c r="R32" s="2" t="inlineStr">
        <is>
          <t>Search '40oz tumbler with handle straw pink' with the US Warehouse filter on. Shipping: 1 to 2 lb, USPS Ground Advantage commercial 1 lb zone 4 $8.15 seen.</t>
        </is>
      </c>
    </row>
    <row r="33">
      <c r="A33" s="3" t="inlineStr">
        <is>
          <t>Q11</t>
        </is>
      </c>
      <c r="B33" s="3" t="inlineStr">
        <is>
          <t>Pink 40 oz insulated tumbler with handle and straw</t>
        </is>
      </c>
      <c r="C33" s="3" t="inlineStr">
        <is>
          <t>backup</t>
        </is>
      </c>
      <c r="D33" s="3" t="inlineStr">
        <is>
          <t>Zendrop (Ships From: US filter)</t>
        </is>
      </c>
      <c r="E33" s="3" t="inlineStr">
        <is>
          <t>https://app.zendrop.com/ (search '40oz tumbler with handle straw pink', Ships From: US)</t>
        </is>
      </c>
      <c r="F33" s="5" t="n">
        <v>9.9</v>
      </c>
      <c r="G33" s="5" t="n">
        <v>8.15</v>
      </c>
      <c r="H33" s="5" t="n">
        <v>8.15</v>
      </c>
      <c r="I33" s="3" t="inlineStr">
        <is>
          <t>3 to 11 days (1 to 3 business days processing + 2 to 8 days, support.zendrop.com via snippet)</t>
        </is>
      </c>
      <c r="J33" s="3" t="inlineStr">
        <is>
          <t>3 to 11 days (1 to 3 business days processing + 2 to 8 days, support.zendrop.com via snippet)</t>
        </is>
      </c>
      <c r="K33" s="5" t="n">
        <v>11</v>
      </c>
      <c r="L33" s="3" t="inlineStr">
        <is>
          <t>US</t>
        </is>
      </c>
      <c r="M33" s="3" t="n">
        <v>1</v>
      </c>
      <c r="N33" s="3" t="inlineStr">
        <is>
          <t>unbranded mailer (confirm)</t>
        </is>
      </c>
      <c r="O33" s="3" t="inlineStr">
        <is>
          <t>Zendrop: refund or replacement for damaged or lost orders; change-of-mind returns not covered. Confirm on support.zendrop.com.</t>
        </is>
      </c>
      <c r="P33" s="3" t="inlineStr">
        <is>
          <t>listing photos usable for the product page after checking the supplier licence; pins use our generated images</t>
        </is>
      </c>
      <c r="Q33" s="3" t="inlineStr">
        <is>
          <t>estimate; confirm on app.zendrop.com</t>
        </is>
      </c>
      <c r="R33" s="3" t="inlineStr">
        <is>
          <t>Needs a paid Zendrop plan ($29/month for 1 to 20 linked products). Cost estimate = CJ estimate + 10%. Search '40oz tumbler with handle straw pink'.</t>
        </is>
      </c>
    </row>
    <row r="34">
      <c r="A34" s="3" t="inlineStr">
        <is>
          <t>Q11</t>
        </is>
      </c>
      <c r="B34" s="3" t="inlineStr">
        <is>
          <t>Pink 40 oz insulated tumbler with handle and straw</t>
        </is>
      </c>
      <c r="C34" s="3" t="inlineStr">
        <is>
          <t>last-resort</t>
        </is>
      </c>
      <c r="D34" s="3" t="inlineStr">
        <is>
          <t>AliExpress Choice (non-US, last resort)</t>
        </is>
      </c>
      <c r="E34" s="3" t="inlineStr">
        <is>
          <t>https://www.aliexpress.us/w/wholesale-40oz-tumbler-with-handle-straw-pink.html</t>
        </is>
      </c>
      <c r="F34" s="5" t="n">
        <v>5.4</v>
      </c>
      <c r="G34" s="5" t="n">
        <v>0</v>
      </c>
      <c r="H34" s="5" t="n">
        <v>0</v>
      </c>
      <c r="I34" s="3" t="inlineStr">
        <is>
          <t>7 to 15 days quoted on most Choice listings; exceeds the 10-day rule</t>
        </is>
      </c>
      <c r="J34" s="3" t="inlineStr">
        <is>
          <t>7 to 15 days quoted on most Choice listings; exceeds the 10-day rule</t>
        </is>
      </c>
      <c r="K34" s="5" t="n">
        <v>15</v>
      </c>
      <c r="L34" s="3" t="inlineStr">
        <is>
          <t>China</t>
        </is>
      </c>
      <c r="M34" s="3" t="n">
        <v>1</v>
      </c>
      <c r="N34" s="3" t="inlineStr">
        <is>
          <t>unbranded mailer (confirm)</t>
        </is>
      </c>
      <c r="O34" s="3" t="inlineStr">
        <is>
          <t>AliExpress Choice: free returns within 15 days on Choice items per AliExpress; the store still owes the customer a US return route. Confirm on aliexpress.com.</t>
        </is>
      </c>
      <c r="P34" s="3" t="inlineStr">
        <is>
          <t>listing photos usable for the product page after checking the supplier licence; pins use our generated images</t>
        </is>
      </c>
      <c r="Q34" s="3" t="inlineStr">
        <is>
          <t>estimate; confirm on aliexpress.com</t>
        </is>
      </c>
      <c r="R34" s="3" t="inlineStr">
        <is>
          <t>EXCLUDED for Q4 (15+ day quote). Evergreen only if the US options fail AND margin is 10 points better. Duties apply since de minimis ended 29 Aug 2025.</t>
        </is>
      </c>
    </row>
    <row r="35">
      <c r="A35" s="2" t="inlineStr">
        <is>
          <t>Q12</t>
        </is>
      </c>
      <c r="B35" s="2" t="inlineStr">
        <is>
          <t>Pink velvet jewelry box with lock</t>
        </is>
      </c>
      <c r="C35" s="2" t="inlineStr">
        <is>
          <t>winner</t>
        </is>
      </c>
      <c r="D35" s="2" t="inlineStr">
        <is>
          <t>CJ Dropshipping (US warehouse filter)</t>
        </is>
      </c>
      <c r="E35" s="2" t="inlineStr">
        <is>
          <t>https://cjdropshipping.com/search/velvet+jewelry+box+lock+pink.html</t>
        </is>
      </c>
      <c r="F35" s="4" t="n">
        <v>10</v>
      </c>
      <c r="G35" s="4" t="n">
        <v>5.5</v>
      </c>
      <c r="H35" s="4" t="n">
        <v>5.5</v>
      </c>
      <c r="I35" s="2" t="inlineStr">
        <is>
          <t>4 to 9 days (1 to 3 processing + 3 to 6 transit, cjdropshipping.com via snippet)</t>
        </is>
      </c>
      <c r="J35" s="2" t="inlineStr">
        <is>
          <t>4 to 9 days (1 to 3 processing + 3 to 6 transit, cjdropshipping.com via snippet)</t>
        </is>
      </c>
      <c r="K35" s="4" t="n">
        <v>9</v>
      </c>
      <c r="L35" s="2" t="inlineStr">
        <is>
          <t>US (NJ or CA)</t>
        </is>
      </c>
      <c r="M35" s="2" t="n">
        <v>1</v>
      </c>
      <c r="N35" s="2" t="inlineStr">
        <is>
          <t>unbranded mailer (confirm)</t>
        </is>
      </c>
      <c r="O35" s="2" t="inlineStr">
        <is>
          <t>CJ: refund or resend for damaged, wrong or lost items; change-of-mind returns at buyer cost. Confirm on cjdropshipping.com (return policy page).</t>
        </is>
      </c>
      <c r="P35" s="2" t="inlineStr">
        <is>
          <t>listing photos usable for the product page after checking the supplier licence; pins use our generated images</t>
        </is>
      </c>
      <c r="Q35" s="2" t="inlineStr">
        <is>
          <t>estimate: cost = 40% of the US retail seen (Zendrop guide ratio $8 to $12 product on $25 retail); confirm on cjdropshipping.com</t>
        </is>
      </c>
      <c r="R35" s="2" t="inlineStr">
        <is>
          <t>Search 'velvet jewelry box lock pink' with the US Warehouse filter on. Shipping: 8 oz to 1 lb, estimate $5.50 (CJ 'about $5' example).</t>
        </is>
      </c>
    </row>
    <row r="36">
      <c r="A36" s="3" t="inlineStr">
        <is>
          <t>Q12</t>
        </is>
      </c>
      <c r="B36" s="3" t="inlineStr">
        <is>
          <t>Pink velvet jewelry box with lock</t>
        </is>
      </c>
      <c r="C36" s="3" t="inlineStr">
        <is>
          <t>backup</t>
        </is>
      </c>
      <c r="D36" s="3" t="inlineStr">
        <is>
          <t>Zendrop (Ships From: US filter)</t>
        </is>
      </c>
      <c r="E36" s="3" t="inlineStr">
        <is>
          <t>https://app.zendrop.com/ (search 'velvet jewelry box lock pink', Ships From: US)</t>
        </is>
      </c>
      <c r="F36" s="5" t="n">
        <v>11</v>
      </c>
      <c r="G36" s="5" t="n">
        <v>5.5</v>
      </c>
      <c r="H36" s="5" t="n">
        <v>5.5</v>
      </c>
      <c r="I36" s="3" t="inlineStr">
        <is>
          <t>3 to 11 days (1 to 3 business days processing + 2 to 8 days, support.zendrop.com via snippet)</t>
        </is>
      </c>
      <c r="J36" s="3" t="inlineStr">
        <is>
          <t>3 to 11 days (1 to 3 business days processing + 2 to 8 days, support.zendrop.com via snippet)</t>
        </is>
      </c>
      <c r="K36" s="5" t="n">
        <v>11</v>
      </c>
      <c r="L36" s="3" t="inlineStr">
        <is>
          <t>US</t>
        </is>
      </c>
      <c r="M36" s="3" t="n">
        <v>1</v>
      </c>
      <c r="N36" s="3" t="inlineStr">
        <is>
          <t>unbranded mailer (confirm)</t>
        </is>
      </c>
      <c r="O36" s="3" t="inlineStr">
        <is>
          <t>Zendrop: refund or replacement for damaged or lost orders; change-of-mind returns not covered. Confirm on support.zendrop.com.</t>
        </is>
      </c>
      <c r="P36" s="3" t="inlineStr">
        <is>
          <t>listing photos usable for the product page after checking the supplier licence; pins use our generated images</t>
        </is>
      </c>
      <c r="Q36" s="3" t="inlineStr">
        <is>
          <t>estimate; confirm on app.zendrop.com</t>
        </is>
      </c>
      <c r="R36" s="3" t="inlineStr">
        <is>
          <t>Needs a paid Zendrop plan ($29/month for 1 to 20 linked products). Cost estimate = CJ estimate + 10%. Search 'velvet jewelry box lock pink'.</t>
        </is>
      </c>
    </row>
    <row r="37">
      <c r="A37" s="3" t="inlineStr">
        <is>
          <t>Q12</t>
        </is>
      </c>
      <c r="B37" s="3" t="inlineStr">
        <is>
          <t>Pink velvet jewelry box with lock</t>
        </is>
      </c>
      <c r="C37" s="3" t="inlineStr">
        <is>
          <t>last-resort</t>
        </is>
      </c>
      <c r="D37" s="3" t="inlineStr">
        <is>
          <t>AliExpress Choice (non-US, last resort)</t>
        </is>
      </c>
      <c r="E37" s="3" t="inlineStr">
        <is>
          <t>https://www.aliexpress.us/w/wholesale-velvet-jewelry-box-lock-pink.html</t>
        </is>
      </c>
      <c r="F37" s="5" t="n">
        <v>6</v>
      </c>
      <c r="G37" s="5" t="n">
        <v>0</v>
      </c>
      <c r="H37" s="5" t="n">
        <v>0</v>
      </c>
      <c r="I37" s="3" t="inlineStr">
        <is>
          <t>7 to 15 days quoted on most Choice listings; exceeds the 10-day rule</t>
        </is>
      </c>
      <c r="J37" s="3" t="inlineStr">
        <is>
          <t>7 to 15 days quoted on most Choice listings; exceeds the 10-day rule</t>
        </is>
      </c>
      <c r="K37" s="5" t="n">
        <v>15</v>
      </c>
      <c r="L37" s="3" t="inlineStr">
        <is>
          <t>China</t>
        </is>
      </c>
      <c r="M37" s="3" t="n">
        <v>1</v>
      </c>
      <c r="N37" s="3" t="inlineStr">
        <is>
          <t>unbranded mailer (confirm)</t>
        </is>
      </c>
      <c r="O37" s="3" t="inlineStr">
        <is>
          <t>AliExpress Choice: free returns within 15 days on Choice items per AliExpress; the store still owes the customer a US return route. Confirm on aliexpress.com.</t>
        </is>
      </c>
      <c r="P37" s="3" t="inlineStr">
        <is>
          <t>listing photos usable for the product page after checking the supplier licence; pins use our generated images</t>
        </is>
      </c>
      <c r="Q37" s="3" t="inlineStr">
        <is>
          <t>estimate; confirm on aliexpress.com</t>
        </is>
      </c>
      <c r="R37" s="3" t="inlineStr">
        <is>
          <t>EXCLUDED for Q4 (15+ day quote). Evergreen only if the US options fail AND margin is 10 points better. Duties apply since de minimis ended 29 Aug 2025.</t>
        </is>
      </c>
    </row>
    <row r="38">
      <c r="A38" s="2" t="inlineStr">
        <is>
          <t>Q13</t>
        </is>
      </c>
      <c r="B38" s="2" t="inlineStr">
        <is>
          <t>Blush pink packing cubes, 8 piece set</t>
        </is>
      </c>
      <c r="C38" s="2" t="inlineStr">
        <is>
          <t>winner</t>
        </is>
      </c>
      <c r="D38" s="2" t="inlineStr">
        <is>
          <t>CJ Dropshipping (US warehouse filter)</t>
        </is>
      </c>
      <c r="E38" s="2" t="inlineStr">
        <is>
          <t>https://cjdropshipping.com/search/packing+cubes+set+pink+8.html</t>
        </is>
      </c>
      <c r="F38" s="4" t="n">
        <v>8</v>
      </c>
      <c r="G38" s="4" t="n">
        <v>5.5</v>
      </c>
      <c r="H38" s="4" t="n">
        <v>5.5</v>
      </c>
      <c r="I38" s="2" t="inlineStr">
        <is>
          <t>4 to 9 days (1 to 3 processing + 3 to 6 transit, cjdropshipping.com via snippet)</t>
        </is>
      </c>
      <c r="J38" s="2" t="inlineStr">
        <is>
          <t>4 to 9 days (1 to 3 processing + 3 to 6 transit, cjdropshipping.com via snippet)</t>
        </is>
      </c>
      <c r="K38" s="4" t="n">
        <v>9</v>
      </c>
      <c r="L38" s="2" t="inlineStr">
        <is>
          <t>US (NJ or CA)</t>
        </is>
      </c>
      <c r="M38" s="2" t="n">
        <v>1</v>
      </c>
      <c r="N38" s="2" t="inlineStr">
        <is>
          <t>unbranded mailer (confirm)</t>
        </is>
      </c>
      <c r="O38" s="2" t="inlineStr">
        <is>
          <t>CJ: refund or resend for damaged, wrong or lost items; change-of-mind returns at buyer cost. Confirm on cjdropshipping.com (return policy page).</t>
        </is>
      </c>
      <c r="P38" s="2" t="inlineStr">
        <is>
          <t>listing photos usable for the product page after checking the supplier licence; pins use our generated images</t>
        </is>
      </c>
      <c r="Q38" s="2" t="inlineStr">
        <is>
          <t>estimate: cost = 40% of the US retail seen (Zendrop guide ratio $8 to $12 product on $25 retail); confirm on cjdropshipping.com</t>
        </is>
      </c>
      <c r="R38" s="2" t="inlineStr">
        <is>
          <t>Search 'packing cubes set pink 8' with the US Warehouse filter on. Shipping: 8 oz to 1 lb, estimate $5.50 (CJ 'about $5' example).</t>
        </is>
      </c>
    </row>
    <row r="39">
      <c r="A39" s="3" t="inlineStr">
        <is>
          <t>Q13</t>
        </is>
      </c>
      <c r="B39" s="3" t="inlineStr">
        <is>
          <t>Blush pink packing cubes, 8 piece set</t>
        </is>
      </c>
      <c r="C39" s="3" t="inlineStr">
        <is>
          <t>backup</t>
        </is>
      </c>
      <c r="D39" s="3" t="inlineStr">
        <is>
          <t>Zendrop (Ships From: US filter)</t>
        </is>
      </c>
      <c r="E39" s="3" t="inlineStr">
        <is>
          <t>https://app.zendrop.com/ (search 'packing cubes set pink 8', Ships From: US)</t>
        </is>
      </c>
      <c r="F39" s="5" t="n">
        <v>8.800000000000001</v>
      </c>
      <c r="G39" s="5" t="n">
        <v>5.5</v>
      </c>
      <c r="H39" s="5" t="n">
        <v>5.5</v>
      </c>
      <c r="I39" s="3" t="inlineStr">
        <is>
          <t>3 to 11 days (1 to 3 business days processing + 2 to 8 days, support.zendrop.com via snippet)</t>
        </is>
      </c>
      <c r="J39" s="3" t="inlineStr">
        <is>
          <t>3 to 11 days (1 to 3 business days processing + 2 to 8 days, support.zendrop.com via snippet)</t>
        </is>
      </c>
      <c r="K39" s="5" t="n">
        <v>11</v>
      </c>
      <c r="L39" s="3" t="inlineStr">
        <is>
          <t>US</t>
        </is>
      </c>
      <c r="M39" s="3" t="n">
        <v>1</v>
      </c>
      <c r="N39" s="3" t="inlineStr">
        <is>
          <t>unbranded mailer (confirm)</t>
        </is>
      </c>
      <c r="O39" s="3" t="inlineStr">
        <is>
          <t>Zendrop: refund or replacement for damaged or lost orders; change-of-mind returns not covered. Confirm on support.zendrop.com.</t>
        </is>
      </c>
      <c r="P39" s="3" t="inlineStr">
        <is>
          <t>listing photos usable for the product page after checking the supplier licence; pins use our generated images</t>
        </is>
      </c>
      <c r="Q39" s="3" t="inlineStr">
        <is>
          <t>estimate; confirm on app.zendrop.com</t>
        </is>
      </c>
      <c r="R39" s="3" t="inlineStr">
        <is>
          <t>Needs a paid Zendrop plan ($29/month for 1 to 20 linked products). Cost estimate = CJ estimate + 10%. Search 'packing cubes set pink 8'.</t>
        </is>
      </c>
    </row>
    <row r="40">
      <c r="A40" s="3" t="inlineStr">
        <is>
          <t>Q13</t>
        </is>
      </c>
      <c r="B40" s="3" t="inlineStr">
        <is>
          <t>Blush pink packing cubes, 8 piece set</t>
        </is>
      </c>
      <c r="C40" s="3" t="inlineStr">
        <is>
          <t>last-resort</t>
        </is>
      </c>
      <c r="D40" s="3" t="inlineStr">
        <is>
          <t>AliExpress Choice (non-US, last resort)</t>
        </is>
      </c>
      <c r="E40" s="3" t="inlineStr">
        <is>
          <t>https://www.aliexpress.com/item/1005009997537438.html</t>
        </is>
      </c>
      <c r="F40" s="5" t="n">
        <v>4.8</v>
      </c>
      <c r="G40" s="5" t="n">
        <v>0</v>
      </c>
      <c r="H40" s="5" t="n">
        <v>0</v>
      </c>
      <c r="I40" s="3" t="inlineStr">
        <is>
          <t>7 to 15 days quoted on most Choice listings; exceeds the 10-day rule</t>
        </is>
      </c>
      <c r="J40" s="3" t="inlineStr">
        <is>
          <t>7 to 15 days quoted on most Choice listings; exceeds the 10-day rule</t>
        </is>
      </c>
      <c r="K40" s="5" t="n">
        <v>15</v>
      </c>
      <c r="L40" s="3" t="inlineStr">
        <is>
          <t>China</t>
        </is>
      </c>
      <c r="M40" s="3" t="n">
        <v>1</v>
      </c>
      <c r="N40" s="3" t="inlineStr">
        <is>
          <t>unbranded mailer (confirm)</t>
        </is>
      </c>
      <c r="O40" s="3" t="inlineStr">
        <is>
          <t>AliExpress Choice: free returns within 15 days on Choice items per AliExpress; the store still owes the customer a US return route. Confirm on aliexpress.com.</t>
        </is>
      </c>
      <c r="P40" s="3" t="inlineStr">
        <is>
          <t>listing photos usable for the product page after checking the supplier licence; pins use our generated images</t>
        </is>
      </c>
      <c r="Q40" s="3" t="inlineStr">
        <is>
          <t>estimate; confirm on aliexpress.com</t>
        </is>
      </c>
      <c r="R40" s="3" t="inlineStr">
        <is>
          <t>EXCLUDED for Q4 (15+ day quote). Evergreen only if the US options fail AND margin is 10 points better. Duties apply since de minimis ended 29 Aug 2025.</t>
        </is>
      </c>
    </row>
    <row r="41">
      <c r="A41" s="2" t="inlineStr">
        <is>
          <t>Q14</t>
        </is>
      </c>
      <c r="B41" s="2" t="inlineStr">
        <is>
          <t>Pink satin sleep bonnet, adjustable</t>
        </is>
      </c>
      <c r="C41" s="2" t="inlineStr">
        <is>
          <t>winner</t>
        </is>
      </c>
      <c r="D41" s="2" t="inlineStr">
        <is>
          <t>CJ Dropshipping (US warehouse filter)</t>
        </is>
      </c>
      <c r="E41" s="2" t="inlineStr">
        <is>
          <t>https://cjdropshipping.com/product/new-silk-bonnet-for-sleeping-women-satin-bonnet-hair-bonnet-night-sleep-cap-scarf-wrap-for-curly-hair-with-tie-band-for-curly-hair-p-2407140638471615000.html</t>
        </is>
      </c>
      <c r="F41" s="4" t="n">
        <v>2.5</v>
      </c>
      <c r="G41" s="4" t="n">
        <v>4.5</v>
      </c>
      <c r="H41" s="4" t="n">
        <v>4.5</v>
      </c>
      <c r="I41" s="2" t="inlineStr">
        <is>
          <t>4 to 9 days (1 to 3 processing + 3 to 6 transit, cjdropshipping.com via snippet)</t>
        </is>
      </c>
      <c r="J41" s="2" t="inlineStr">
        <is>
          <t>4 to 9 days (1 to 3 processing + 3 to 6 transit, cjdropshipping.com via snippet)</t>
        </is>
      </c>
      <c r="K41" s="4" t="n">
        <v>9</v>
      </c>
      <c r="L41" s="2" t="inlineStr">
        <is>
          <t>US (NJ or CA)</t>
        </is>
      </c>
      <c r="M41" s="2" t="n">
        <v>1</v>
      </c>
      <c r="N41" s="2" t="inlineStr">
        <is>
          <t>unbranded mailer (confirm)</t>
        </is>
      </c>
      <c r="O41" s="2" t="inlineStr">
        <is>
          <t>CJ: refund or resend for damaged, wrong or lost items; change-of-mind returns at buyer cost. Confirm on cjdropshipping.com (return policy page).</t>
        </is>
      </c>
      <c r="P41" s="2" t="inlineStr">
        <is>
          <t>listing photos usable for the product page after checking the supplier licence; pins use our generated images</t>
        </is>
      </c>
      <c r="Q41" s="2" t="inlineStr">
        <is>
          <t>listing found via search; price not visible in snippet, cost is an estimate; confirm on cjdropshipping.com</t>
        </is>
      </c>
      <c r="R41" s="2" t="inlineStr">
        <is>
          <t>Search 'satin bonnet sleep pink' with the US Warehouse filter on. Shipping: under 8 oz, estimate $4.50 (Zendrop $4 to $6 band).</t>
        </is>
      </c>
    </row>
    <row r="42">
      <c r="A42" s="3" t="inlineStr">
        <is>
          <t>Q14</t>
        </is>
      </c>
      <c r="B42" s="3" t="inlineStr">
        <is>
          <t>Pink satin sleep bonnet, adjustable</t>
        </is>
      </c>
      <c r="C42" s="3" t="inlineStr">
        <is>
          <t>backup</t>
        </is>
      </c>
      <c r="D42" s="3" t="inlineStr">
        <is>
          <t>Zendrop (Ships From: US filter)</t>
        </is>
      </c>
      <c r="E42" s="3" t="inlineStr">
        <is>
          <t>https://app.zendrop.com/ (search 'satin bonnet sleep pink', Ships From: US)</t>
        </is>
      </c>
      <c r="F42" s="5" t="n">
        <v>2.75</v>
      </c>
      <c r="G42" s="5" t="n">
        <v>4.5</v>
      </c>
      <c r="H42" s="5" t="n">
        <v>4.5</v>
      </c>
      <c r="I42" s="3" t="inlineStr">
        <is>
          <t>3 to 11 days (1 to 3 business days processing + 2 to 8 days, support.zendrop.com via snippet)</t>
        </is>
      </c>
      <c r="J42" s="3" t="inlineStr">
        <is>
          <t>3 to 11 days (1 to 3 business days processing + 2 to 8 days, support.zendrop.com via snippet)</t>
        </is>
      </c>
      <c r="K42" s="5" t="n">
        <v>11</v>
      </c>
      <c r="L42" s="3" t="inlineStr">
        <is>
          <t>US</t>
        </is>
      </c>
      <c r="M42" s="3" t="n">
        <v>1</v>
      </c>
      <c r="N42" s="3" t="inlineStr">
        <is>
          <t>unbranded mailer (confirm)</t>
        </is>
      </c>
      <c r="O42" s="3" t="inlineStr">
        <is>
          <t>Zendrop: refund or replacement for damaged or lost orders; change-of-mind returns not covered. Confirm on support.zendrop.com.</t>
        </is>
      </c>
      <c r="P42" s="3" t="inlineStr">
        <is>
          <t>listing photos usable for the product page after checking the supplier licence; pins use our generated images</t>
        </is>
      </c>
      <c r="Q42" s="3" t="inlineStr">
        <is>
          <t>estimate; confirm on app.zendrop.com</t>
        </is>
      </c>
      <c r="R42" s="3" t="inlineStr">
        <is>
          <t>Needs a paid Zendrop plan ($29/month for 1 to 20 linked products). Cost estimate = CJ estimate + 10%. Search 'satin bonnet sleep pink'.</t>
        </is>
      </c>
    </row>
    <row r="43">
      <c r="A43" s="3" t="inlineStr">
        <is>
          <t>Q14</t>
        </is>
      </c>
      <c r="B43" s="3" t="inlineStr">
        <is>
          <t>Pink satin sleep bonnet, adjustable</t>
        </is>
      </c>
      <c r="C43" s="3" t="inlineStr">
        <is>
          <t>last-resort</t>
        </is>
      </c>
      <c r="D43" s="3" t="inlineStr">
        <is>
          <t>AliExpress Choice (non-US, last resort)</t>
        </is>
      </c>
      <c r="E43" s="3" t="inlineStr">
        <is>
          <t>https://www.aliexpress.us/w/wholesale-satin-bonnet-sleep-pink.html</t>
        </is>
      </c>
      <c r="F43" s="5" t="n">
        <v>1.5</v>
      </c>
      <c r="G43" s="5" t="n">
        <v>0</v>
      </c>
      <c r="H43" s="5" t="n">
        <v>0</v>
      </c>
      <c r="I43" s="3" t="inlineStr">
        <is>
          <t>7 to 15 days quoted on most Choice listings; exceeds the 10-day rule</t>
        </is>
      </c>
      <c r="J43" s="3" t="inlineStr">
        <is>
          <t>7 to 15 days quoted on most Choice listings; exceeds the 10-day rule</t>
        </is>
      </c>
      <c r="K43" s="5" t="n">
        <v>15</v>
      </c>
      <c r="L43" s="3" t="inlineStr">
        <is>
          <t>China</t>
        </is>
      </c>
      <c r="M43" s="3" t="n">
        <v>1</v>
      </c>
      <c r="N43" s="3" t="inlineStr">
        <is>
          <t>unbranded mailer (confirm)</t>
        </is>
      </c>
      <c r="O43" s="3" t="inlineStr">
        <is>
          <t>AliExpress Choice: free returns within 15 days on Choice items per AliExpress; the store still owes the customer a US return route. Confirm on aliexpress.com.</t>
        </is>
      </c>
      <c r="P43" s="3" t="inlineStr">
        <is>
          <t>listing photos usable for the product page after checking the supplier licence; pins use our generated images</t>
        </is>
      </c>
      <c r="Q43" s="3" t="inlineStr">
        <is>
          <t>estimate; confirm on aliexpress.com</t>
        </is>
      </c>
      <c r="R43" s="3" t="inlineStr">
        <is>
          <t>EXCLUDED for Q4 (15+ day quote). Evergreen only if the US options fail AND margin is 10 points better. Duties apply since de minimis ended 29 Aug 2025.</t>
        </is>
      </c>
    </row>
    <row r="44">
      <c r="A44" s="2" t="inlineStr">
        <is>
          <t>Q15</t>
        </is>
      </c>
      <c r="B44" s="2" t="inlineStr">
        <is>
          <t>Pink bow champagne flutes, set of 2</t>
        </is>
      </c>
      <c r="C44" s="2" t="inlineStr">
        <is>
          <t>winner</t>
        </is>
      </c>
      <c r="D44" s="2" t="inlineStr">
        <is>
          <t>CJ Dropshipping (US warehouse filter)</t>
        </is>
      </c>
      <c r="E44" s="2" t="inlineStr">
        <is>
          <t>https://cjdropshipping.com/search/champagne+flutes+pink+bow+set+of+2.html</t>
        </is>
      </c>
      <c r="F44" s="4" t="n">
        <v>9</v>
      </c>
      <c r="G44" s="4" t="n">
        <v>5.5</v>
      </c>
      <c r="H44" s="4" t="n">
        <v>5.5</v>
      </c>
      <c r="I44" s="2" t="inlineStr">
        <is>
          <t>4 to 9 days (1 to 3 processing + 3 to 6 transit, cjdropshipping.com via snippet)</t>
        </is>
      </c>
      <c r="J44" s="2" t="inlineStr">
        <is>
          <t>4 to 9 days (1 to 3 processing + 3 to 6 transit, cjdropshipping.com via snippet)</t>
        </is>
      </c>
      <c r="K44" s="4" t="n">
        <v>9</v>
      </c>
      <c r="L44" s="2" t="inlineStr">
        <is>
          <t>US (NJ or CA)</t>
        </is>
      </c>
      <c r="M44" s="2" t="n">
        <v>1</v>
      </c>
      <c r="N44" s="2" t="inlineStr">
        <is>
          <t>unbranded mailer (confirm)</t>
        </is>
      </c>
      <c r="O44" s="2" t="inlineStr">
        <is>
          <t>CJ: refund or resend for damaged, wrong or lost items; change-of-mind returns at buyer cost. Confirm on cjdropshipping.com (return policy page).</t>
        </is>
      </c>
      <c r="P44" s="2" t="inlineStr">
        <is>
          <t>listing photos usable for the product page after checking the supplier licence; pins use our generated images</t>
        </is>
      </c>
      <c r="Q44" s="2" t="inlineStr">
        <is>
          <t>estimate: cost = 40% of the US retail seen (Zendrop guide ratio $8 to $12 product on $25 retail); confirm on cjdropshipping.com</t>
        </is>
      </c>
      <c r="R44" s="2" t="inlineStr">
        <is>
          <t>Search 'champagne flutes pink bow set of 2' with the US Warehouse filter on. Shipping: 8 oz to 1 lb, estimate $5.50 (CJ 'about $5' example).</t>
        </is>
      </c>
    </row>
    <row r="45">
      <c r="A45" s="3" t="inlineStr">
        <is>
          <t>Q15</t>
        </is>
      </c>
      <c r="B45" s="3" t="inlineStr">
        <is>
          <t>Pink bow champagne flutes, set of 2</t>
        </is>
      </c>
      <c r="C45" s="3" t="inlineStr">
        <is>
          <t>backup</t>
        </is>
      </c>
      <c r="D45" s="3" t="inlineStr">
        <is>
          <t>Zendrop (Ships From: US filter)</t>
        </is>
      </c>
      <c r="E45" s="3" t="inlineStr">
        <is>
          <t>https://app.zendrop.com/ (search 'champagne flutes pink bow set of 2', Ships From: US)</t>
        </is>
      </c>
      <c r="F45" s="5" t="n">
        <v>9.9</v>
      </c>
      <c r="G45" s="5" t="n">
        <v>5.5</v>
      </c>
      <c r="H45" s="5" t="n">
        <v>5.5</v>
      </c>
      <c r="I45" s="3" t="inlineStr">
        <is>
          <t>3 to 11 days (1 to 3 business days processing + 2 to 8 days, support.zendrop.com via snippet)</t>
        </is>
      </c>
      <c r="J45" s="3" t="inlineStr">
        <is>
          <t>3 to 11 days (1 to 3 business days processing + 2 to 8 days, support.zendrop.com via snippet)</t>
        </is>
      </c>
      <c r="K45" s="5" t="n">
        <v>11</v>
      </c>
      <c r="L45" s="3" t="inlineStr">
        <is>
          <t>US</t>
        </is>
      </c>
      <c r="M45" s="3" t="n">
        <v>1</v>
      </c>
      <c r="N45" s="3" t="inlineStr">
        <is>
          <t>unbranded mailer (confirm)</t>
        </is>
      </c>
      <c r="O45" s="3" t="inlineStr">
        <is>
          <t>Zendrop: refund or replacement for damaged or lost orders; change-of-mind returns not covered. Confirm on support.zendrop.com.</t>
        </is>
      </c>
      <c r="P45" s="3" t="inlineStr">
        <is>
          <t>listing photos usable for the product page after checking the supplier licence; pins use our generated images</t>
        </is>
      </c>
      <c r="Q45" s="3" t="inlineStr">
        <is>
          <t>estimate; confirm on app.zendrop.com</t>
        </is>
      </c>
      <c r="R45" s="3" t="inlineStr">
        <is>
          <t>Needs a paid Zendrop plan ($29/month for 1 to 20 linked products). Cost estimate = CJ estimate + 10%. Search 'champagne flutes pink bow set of 2'.</t>
        </is>
      </c>
    </row>
    <row r="46">
      <c r="A46" s="3" t="inlineStr">
        <is>
          <t>Q15</t>
        </is>
      </c>
      <c r="B46" s="3" t="inlineStr">
        <is>
          <t>Pink bow champagne flutes, set of 2</t>
        </is>
      </c>
      <c r="C46" s="3" t="inlineStr">
        <is>
          <t>last-resort</t>
        </is>
      </c>
      <c r="D46" s="3" t="inlineStr">
        <is>
          <t>AliExpress Choice (non-US, last resort)</t>
        </is>
      </c>
      <c r="E46" s="3" t="inlineStr">
        <is>
          <t>https://www.aliexpress.us/w/wholesale-champagne-flutes-pink-bow-set-of-2.html</t>
        </is>
      </c>
      <c r="F46" s="5" t="n">
        <v>5.4</v>
      </c>
      <c r="G46" s="5" t="n">
        <v>0</v>
      </c>
      <c r="H46" s="5" t="n">
        <v>0</v>
      </c>
      <c r="I46" s="3" t="inlineStr">
        <is>
          <t>7 to 15 days quoted on most Choice listings; exceeds the 10-day rule</t>
        </is>
      </c>
      <c r="J46" s="3" t="inlineStr">
        <is>
          <t>7 to 15 days quoted on most Choice listings; exceeds the 10-day rule</t>
        </is>
      </c>
      <c r="K46" s="5" t="n">
        <v>15</v>
      </c>
      <c r="L46" s="3" t="inlineStr">
        <is>
          <t>China</t>
        </is>
      </c>
      <c r="M46" s="3" t="n">
        <v>1</v>
      </c>
      <c r="N46" s="3" t="inlineStr">
        <is>
          <t>unbranded mailer (confirm)</t>
        </is>
      </c>
      <c r="O46" s="3" t="inlineStr">
        <is>
          <t>AliExpress Choice: free returns within 15 days on Choice items per AliExpress; the store still owes the customer a US return route. Confirm on aliexpress.com.</t>
        </is>
      </c>
      <c r="P46" s="3" t="inlineStr">
        <is>
          <t>listing photos usable for the product page after checking the supplier licence; pins use our generated images</t>
        </is>
      </c>
      <c r="Q46" s="3" t="inlineStr">
        <is>
          <t>estimate; confirm on aliexpress.com</t>
        </is>
      </c>
      <c r="R46" s="3" t="inlineStr">
        <is>
          <t>EXCLUDED for Q4 (15+ day quote). Evergreen only if the US options fail AND margin is 10 points better. Duties apply since de minimis ended 29 Aug 2025.</t>
        </is>
      </c>
    </row>
    <row r="47">
      <c r="A47" s="2" t="inlineStr">
        <is>
          <t>Q16</t>
        </is>
      </c>
      <c r="B47" s="2" t="inlineStr">
        <is>
          <t>Pink 2027 weekly and monthly planner, hardcover</t>
        </is>
      </c>
      <c r="C47" s="2" t="inlineStr">
        <is>
          <t>winner</t>
        </is>
      </c>
      <c r="D47" s="2" t="inlineStr">
        <is>
          <t>CJ Dropshipping (US warehouse filter)</t>
        </is>
      </c>
      <c r="E47" s="2" t="inlineStr">
        <is>
          <t>https://cjdropshipping.com/search/2027+planner+pink+weekly+monthly+hardcover.html</t>
        </is>
      </c>
      <c r="F47" s="4" t="n">
        <v>7</v>
      </c>
      <c r="G47" s="4" t="n">
        <v>5.5</v>
      </c>
      <c r="H47" s="4" t="n">
        <v>5.5</v>
      </c>
      <c r="I47" s="2" t="inlineStr">
        <is>
          <t>4 to 9 days (1 to 3 processing + 3 to 6 transit, cjdropshipping.com via snippet)</t>
        </is>
      </c>
      <c r="J47" s="2" t="inlineStr">
        <is>
          <t>4 to 9 days (1 to 3 processing + 3 to 6 transit, cjdropshipping.com via snippet)</t>
        </is>
      </c>
      <c r="K47" s="4" t="n">
        <v>9</v>
      </c>
      <c r="L47" s="2" t="inlineStr">
        <is>
          <t>US (NJ or CA)</t>
        </is>
      </c>
      <c r="M47" s="2" t="n">
        <v>1</v>
      </c>
      <c r="N47" s="2" t="inlineStr">
        <is>
          <t>unbranded mailer (confirm)</t>
        </is>
      </c>
      <c r="O47" s="2" t="inlineStr">
        <is>
          <t>CJ: refund or resend for damaged, wrong or lost items; change-of-mind returns at buyer cost. Confirm on cjdropshipping.com (return policy page).</t>
        </is>
      </c>
      <c r="P47" s="2" t="inlineStr">
        <is>
          <t>listing photos usable for the product page after checking the supplier licence; pins use our generated images</t>
        </is>
      </c>
      <c r="Q47" s="2" t="inlineStr">
        <is>
          <t>estimate: cost = 40% of the US retail seen (Zendrop guide ratio $8 to $12 product on $25 retail); confirm on cjdropshipping.com</t>
        </is>
      </c>
      <c r="R47" s="2" t="inlineStr">
        <is>
          <t>Search '2027 planner pink weekly monthly hardcover' with the US Warehouse filter on. Shipping: 8 oz to 1 lb, estimate $5.50 (CJ 'about $5' example).</t>
        </is>
      </c>
    </row>
    <row r="48">
      <c r="A48" s="3" t="inlineStr">
        <is>
          <t>Q16</t>
        </is>
      </c>
      <c r="B48" s="3" t="inlineStr">
        <is>
          <t>Pink 2027 weekly and monthly planner, hardcover</t>
        </is>
      </c>
      <c r="C48" s="3" t="inlineStr">
        <is>
          <t>backup</t>
        </is>
      </c>
      <c r="D48" s="3" t="inlineStr">
        <is>
          <t>Zendrop (Ships From: US filter)</t>
        </is>
      </c>
      <c r="E48" s="3" t="inlineStr">
        <is>
          <t>https://app.zendrop.com/ (search '2027 planner pink weekly monthly hardcover', Ships From: US)</t>
        </is>
      </c>
      <c r="F48" s="5" t="n">
        <v>7.7</v>
      </c>
      <c r="G48" s="5" t="n">
        <v>5.5</v>
      </c>
      <c r="H48" s="5" t="n">
        <v>5.5</v>
      </c>
      <c r="I48" s="3" t="inlineStr">
        <is>
          <t>3 to 11 days (1 to 3 business days processing + 2 to 8 days, support.zendrop.com via snippet)</t>
        </is>
      </c>
      <c r="J48" s="3" t="inlineStr">
        <is>
          <t>3 to 11 days (1 to 3 business days processing + 2 to 8 days, support.zendrop.com via snippet)</t>
        </is>
      </c>
      <c r="K48" s="5" t="n">
        <v>11</v>
      </c>
      <c r="L48" s="3" t="inlineStr">
        <is>
          <t>US</t>
        </is>
      </c>
      <c r="M48" s="3" t="n">
        <v>1</v>
      </c>
      <c r="N48" s="3" t="inlineStr">
        <is>
          <t>unbranded mailer (confirm)</t>
        </is>
      </c>
      <c r="O48" s="3" t="inlineStr">
        <is>
          <t>Zendrop: refund or replacement for damaged or lost orders; change-of-mind returns not covered. Confirm on support.zendrop.com.</t>
        </is>
      </c>
      <c r="P48" s="3" t="inlineStr">
        <is>
          <t>listing photos usable for the product page after checking the supplier licence; pins use our generated images</t>
        </is>
      </c>
      <c r="Q48" s="3" t="inlineStr">
        <is>
          <t>estimate; confirm on app.zendrop.com</t>
        </is>
      </c>
      <c r="R48" s="3" t="inlineStr">
        <is>
          <t>Needs a paid Zendrop plan ($29/month for 1 to 20 linked products). Cost estimate = CJ estimate + 10%. Search '2027 planner pink weekly monthly hardcover'.</t>
        </is>
      </c>
    </row>
    <row r="49">
      <c r="A49" s="3" t="inlineStr">
        <is>
          <t>Q16</t>
        </is>
      </c>
      <c r="B49" s="3" t="inlineStr">
        <is>
          <t>Pink 2027 weekly and monthly planner, hardcover</t>
        </is>
      </c>
      <c r="C49" s="3" t="inlineStr">
        <is>
          <t>last-resort</t>
        </is>
      </c>
      <c r="D49" s="3" t="inlineStr">
        <is>
          <t>AliExpress Choice (non-US, last resort)</t>
        </is>
      </c>
      <c r="E49" s="3" t="inlineStr">
        <is>
          <t>https://www.aliexpress.us/w/wholesale-2027-planner-pink-weekly-monthly-hardcover.html</t>
        </is>
      </c>
      <c r="F49" s="5" t="n">
        <v>4.2</v>
      </c>
      <c r="G49" s="5" t="n">
        <v>0</v>
      </c>
      <c r="H49" s="5" t="n">
        <v>0</v>
      </c>
      <c r="I49" s="3" t="inlineStr">
        <is>
          <t>7 to 15 days quoted on most Choice listings; exceeds the 10-day rule</t>
        </is>
      </c>
      <c r="J49" s="3" t="inlineStr">
        <is>
          <t>7 to 15 days quoted on most Choice listings; exceeds the 10-day rule</t>
        </is>
      </c>
      <c r="K49" s="5" t="n">
        <v>15</v>
      </c>
      <c r="L49" s="3" t="inlineStr">
        <is>
          <t>China</t>
        </is>
      </c>
      <c r="M49" s="3" t="n">
        <v>1</v>
      </c>
      <c r="N49" s="3" t="inlineStr">
        <is>
          <t>unbranded mailer (confirm)</t>
        </is>
      </c>
      <c r="O49" s="3" t="inlineStr">
        <is>
          <t>AliExpress Choice: free returns within 15 days on Choice items per AliExpress; the store still owes the customer a US return route. Confirm on aliexpress.com.</t>
        </is>
      </c>
      <c r="P49" s="3" t="inlineStr">
        <is>
          <t>listing photos usable for the product page after checking the supplier licence; pins use our generated images</t>
        </is>
      </c>
      <c r="Q49" s="3" t="inlineStr">
        <is>
          <t>estimate; confirm on aliexpress.com</t>
        </is>
      </c>
      <c r="R49" s="3" t="inlineStr">
        <is>
          <t>EXCLUDED for Q4 (15+ day quote). Evergreen only if the US options fail AND margin is 10 points better. Duties apply since de minimis ended 29 Aug 2025.</t>
        </is>
      </c>
    </row>
    <row r="50">
      <c r="A50" s="2" t="inlineStr">
        <is>
          <t>E01</t>
        </is>
      </c>
      <c r="B50" s="2" t="inlineStr">
        <is>
          <t>Pink PU leather desk mat, large</t>
        </is>
      </c>
      <c r="C50" s="2" t="inlineStr">
        <is>
          <t>winner</t>
        </is>
      </c>
      <c r="D50" s="2" t="inlineStr">
        <is>
          <t>CJ Dropshipping (US warehouse filter)</t>
        </is>
      </c>
      <c r="E50" s="2" t="inlineStr">
        <is>
          <t>https://cjdropshipping.com/search/desk+mat+pu+leather+pink+large+waterproof.html</t>
        </is>
      </c>
      <c r="F50" s="4" t="n">
        <v>6</v>
      </c>
      <c r="G50" s="4" t="n">
        <v>5.5</v>
      </c>
      <c r="H50" s="4" t="n">
        <v>5.5</v>
      </c>
      <c r="I50" s="2" t="inlineStr">
        <is>
          <t>4 to 9 days (1 to 3 processing + 3 to 6 transit, cjdropshipping.com via snippet)</t>
        </is>
      </c>
      <c r="J50" s="2" t="inlineStr">
        <is>
          <t>4 to 9 days (1 to 3 processing + 3 to 6 transit, cjdropshipping.com via snippet)</t>
        </is>
      </c>
      <c r="K50" s="4" t="n">
        <v>9</v>
      </c>
      <c r="L50" s="2" t="inlineStr">
        <is>
          <t>US (NJ or CA)</t>
        </is>
      </c>
      <c r="M50" s="2" t="n">
        <v>1</v>
      </c>
      <c r="N50" s="2" t="inlineStr">
        <is>
          <t>unbranded mailer (confirm)</t>
        </is>
      </c>
      <c r="O50" s="2" t="inlineStr">
        <is>
          <t>CJ: refund or resend for damaged, wrong or lost items; change-of-mind returns at buyer cost. Confirm on cjdropshipping.com (return policy page).</t>
        </is>
      </c>
      <c r="P50" s="2" t="inlineStr">
        <is>
          <t>listing photos usable for the product page after checking the supplier licence; pins use our generated images</t>
        </is>
      </c>
      <c r="Q50" s="2" t="inlineStr">
        <is>
          <t>estimate: cost = 40% of the US retail seen (Zendrop guide ratio $8 to $12 product on $25 retail); confirm on cjdropshipping.com</t>
        </is>
      </c>
      <c r="R50" s="2" t="inlineStr">
        <is>
          <t>Search 'desk mat pu leather pink large waterproof' with the US Warehouse filter on. Shipping: 8 oz to 1 lb, estimate $5.50 (CJ 'about $5' example).</t>
        </is>
      </c>
    </row>
    <row r="51">
      <c r="A51" s="3" t="inlineStr">
        <is>
          <t>E01</t>
        </is>
      </c>
      <c r="B51" s="3" t="inlineStr">
        <is>
          <t>Pink PU leather desk mat, large</t>
        </is>
      </c>
      <c r="C51" s="3" t="inlineStr">
        <is>
          <t>backup</t>
        </is>
      </c>
      <c r="D51" s="3" t="inlineStr">
        <is>
          <t>Zendrop (Ships From: US filter)</t>
        </is>
      </c>
      <c r="E51" s="3" t="inlineStr">
        <is>
          <t>https://app.zendrop.com/ (search 'desk mat pu leather pink large waterproof', Ships From: US)</t>
        </is>
      </c>
      <c r="F51" s="5" t="n">
        <v>6.6</v>
      </c>
      <c r="G51" s="5" t="n">
        <v>5.5</v>
      </c>
      <c r="H51" s="5" t="n">
        <v>5.5</v>
      </c>
      <c r="I51" s="3" t="inlineStr">
        <is>
          <t>3 to 11 days (1 to 3 business days processing + 2 to 8 days, support.zendrop.com via snippet)</t>
        </is>
      </c>
      <c r="J51" s="3" t="inlineStr">
        <is>
          <t>3 to 11 days (1 to 3 business days processing + 2 to 8 days, support.zendrop.com via snippet)</t>
        </is>
      </c>
      <c r="K51" s="5" t="n">
        <v>11</v>
      </c>
      <c r="L51" s="3" t="inlineStr">
        <is>
          <t>US</t>
        </is>
      </c>
      <c r="M51" s="3" t="n">
        <v>1</v>
      </c>
      <c r="N51" s="3" t="inlineStr">
        <is>
          <t>unbranded mailer (confirm)</t>
        </is>
      </c>
      <c r="O51" s="3" t="inlineStr">
        <is>
          <t>Zendrop: refund or replacement for damaged or lost orders; change-of-mind returns not covered. Confirm on support.zendrop.com.</t>
        </is>
      </c>
      <c r="P51" s="3" t="inlineStr">
        <is>
          <t>listing photos usable for the product page after checking the supplier licence; pins use our generated images</t>
        </is>
      </c>
      <c r="Q51" s="3" t="inlineStr">
        <is>
          <t>estimate; confirm on app.zendrop.com</t>
        </is>
      </c>
      <c r="R51" s="3" t="inlineStr">
        <is>
          <t>Needs a paid Zendrop plan ($29/month for 1 to 20 linked products). Cost estimate = CJ estimate + 10%. Search 'desk mat pu leather pink large waterproof'.</t>
        </is>
      </c>
    </row>
    <row r="52">
      <c r="A52" s="3" t="inlineStr">
        <is>
          <t>E01</t>
        </is>
      </c>
      <c r="B52" s="3" t="inlineStr">
        <is>
          <t>Pink PU leather desk mat, large</t>
        </is>
      </c>
      <c r="C52" s="3" t="inlineStr">
        <is>
          <t>last-resort</t>
        </is>
      </c>
      <c r="D52" s="3" t="inlineStr">
        <is>
          <t>AliExpress Choice (non-US, last resort)</t>
        </is>
      </c>
      <c r="E52" s="3" t="inlineStr">
        <is>
          <t>https://www.aliexpress.us/w/wholesale-desk-mat-pu-leather-pink-large-waterproof.html</t>
        </is>
      </c>
      <c r="F52" s="5" t="n">
        <v>3.6</v>
      </c>
      <c r="G52" s="5" t="n">
        <v>0</v>
      </c>
      <c r="H52" s="5" t="n">
        <v>0</v>
      </c>
      <c r="I52" s="3" t="inlineStr">
        <is>
          <t>7 to 15 days quoted on most Choice listings; exceeds the 10-day rule</t>
        </is>
      </c>
      <c r="J52" s="3" t="inlineStr">
        <is>
          <t>7 to 15 days quoted on most Choice listings; exceeds the 10-day rule</t>
        </is>
      </c>
      <c r="K52" s="5" t="n">
        <v>15</v>
      </c>
      <c r="L52" s="3" t="inlineStr">
        <is>
          <t>China</t>
        </is>
      </c>
      <c r="M52" s="3" t="n">
        <v>1</v>
      </c>
      <c r="N52" s="3" t="inlineStr">
        <is>
          <t>unbranded mailer (confirm)</t>
        </is>
      </c>
      <c r="O52" s="3" t="inlineStr">
        <is>
          <t>AliExpress Choice: free returns within 15 days on Choice items per AliExpress; the store still owes the customer a US return route. Confirm on aliexpress.com.</t>
        </is>
      </c>
      <c r="P52" s="3" t="inlineStr">
        <is>
          <t>listing photos usable for the product page after checking the supplier licence; pins use our generated images</t>
        </is>
      </c>
      <c r="Q52" s="3" t="inlineStr">
        <is>
          <t>estimate; confirm on aliexpress.com</t>
        </is>
      </c>
      <c r="R52" s="3" t="inlineStr">
        <is>
          <t>EXCLUDED for Q4 (15+ day quote). Evergreen only if the US options fail AND margin is 10 points better. Duties apply since de minimis ended 29 Aug 2025.</t>
        </is>
      </c>
    </row>
    <row r="53">
      <c r="A53" s="2" t="inlineStr">
        <is>
          <t>E02</t>
        </is>
      </c>
      <c r="B53" s="2" t="inlineStr">
        <is>
          <t>Pink acrylic desk organizer with pen cup</t>
        </is>
      </c>
      <c r="C53" s="2" t="inlineStr">
        <is>
          <t>winner</t>
        </is>
      </c>
      <c r="D53" s="2" t="inlineStr">
        <is>
          <t>CJ Dropshipping (US warehouse filter)</t>
        </is>
      </c>
      <c r="E53" s="2" t="inlineStr">
        <is>
          <t>https://cjdropshipping.com/search/acrylic+desk+organizer+pink+pen+holder.html</t>
        </is>
      </c>
      <c r="F53" s="4" t="n">
        <v>6</v>
      </c>
      <c r="G53" s="4" t="n">
        <v>5.5</v>
      </c>
      <c r="H53" s="4" t="n">
        <v>5.5</v>
      </c>
      <c r="I53" s="2" t="inlineStr">
        <is>
          <t>4 to 9 days (1 to 3 processing + 3 to 6 transit, cjdropshipping.com via snippet)</t>
        </is>
      </c>
      <c r="J53" s="2" t="inlineStr">
        <is>
          <t>4 to 9 days (1 to 3 processing + 3 to 6 transit, cjdropshipping.com via snippet)</t>
        </is>
      </c>
      <c r="K53" s="4" t="n">
        <v>9</v>
      </c>
      <c r="L53" s="2" t="inlineStr">
        <is>
          <t>US (NJ or CA)</t>
        </is>
      </c>
      <c r="M53" s="2" t="n">
        <v>1</v>
      </c>
      <c r="N53" s="2" t="inlineStr">
        <is>
          <t>unbranded mailer (confirm)</t>
        </is>
      </c>
      <c r="O53" s="2" t="inlineStr">
        <is>
          <t>CJ: refund or resend for damaged, wrong or lost items; change-of-mind returns at buyer cost. Confirm on cjdropshipping.com (return policy page).</t>
        </is>
      </c>
      <c r="P53" s="2" t="inlineStr">
        <is>
          <t>listing photos usable for the product page after checking the supplier licence; pins use our generated images</t>
        </is>
      </c>
      <c r="Q53" s="2" t="inlineStr">
        <is>
          <t>estimate: cost = 40% of the US retail seen (Zendrop guide ratio $8 to $12 product on $25 retail); confirm on cjdropshipping.com</t>
        </is>
      </c>
      <c r="R53" s="2" t="inlineStr">
        <is>
          <t>Search 'acrylic desk organizer pink pen holder' with the US Warehouse filter on. Shipping: 8 oz to 1 lb, estimate $5.50 (CJ 'about $5' example).</t>
        </is>
      </c>
    </row>
    <row r="54">
      <c r="A54" s="3" t="inlineStr">
        <is>
          <t>E02</t>
        </is>
      </c>
      <c r="B54" s="3" t="inlineStr">
        <is>
          <t>Pink acrylic desk organizer with pen cup</t>
        </is>
      </c>
      <c r="C54" s="3" t="inlineStr">
        <is>
          <t>backup</t>
        </is>
      </c>
      <c r="D54" s="3" t="inlineStr">
        <is>
          <t>Zendrop (Ships From: US filter)</t>
        </is>
      </c>
      <c r="E54" s="3" t="inlineStr">
        <is>
          <t>https://app.zendrop.com/ (search 'acrylic desk organizer pink pen holder', Ships From: US)</t>
        </is>
      </c>
      <c r="F54" s="5" t="n">
        <v>6.6</v>
      </c>
      <c r="G54" s="5" t="n">
        <v>5.5</v>
      </c>
      <c r="H54" s="5" t="n">
        <v>5.5</v>
      </c>
      <c r="I54" s="3" t="inlineStr">
        <is>
          <t>3 to 11 days (1 to 3 business days processing + 2 to 8 days, support.zendrop.com via snippet)</t>
        </is>
      </c>
      <c r="J54" s="3" t="inlineStr">
        <is>
          <t>3 to 11 days (1 to 3 business days processing + 2 to 8 days, support.zendrop.com via snippet)</t>
        </is>
      </c>
      <c r="K54" s="5" t="n">
        <v>11</v>
      </c>
      <c r="L54" s="3" t="inlineStr">
        <is>
          <t>US</t>
        </is>
      </c>
      <c r="M54" s="3" t="n">
        <v>1</v>
      </c>
      <c r="N54" s="3" t="inlineStr">
        <is>
          <t>unbranded mailer (confirm)</t>
        </is>
      </c>
      <c r="O54" s="3" t="inlineStr">
        <is>
          <t>Zendrop: refund or replacement for damaged or lost orders; change-of-mind returns not covered. Confirm on support.zendrop.com.</t>
        </is>
      </c>
      <c r="P54" s="3" t="inlineStr">
        <is>
          <t>listing photos usable for the product page after checking the supplier licence; pins use our generated images</t>
        </is>
      </c>
      <c r="Q54" s="3" t="inlineStr">
        <is>
          <t>estimate; confirm on app.zendrop.com</t>
        </is>
      </c>
      <c r="R54" s="3" t="inlineStr">
        <is>
          <t>Needs a paid Zendrop plan ($29/month for 1 to 20 linked products). Cost estimate = CJ estimate + 10%. Search 'acrylic desk organizer pink pen holder'.</t>
        </is>
      </c>
    </row>
    <row r="55">
      <c r="A55" s="3" t="inlineStr">
        <is>
          <t>E02</t>
        </is>
      </c>
      <c r="B55" s="3" t="inlineStr">
        <is>
          <t>Pink acrylic desk organizer with pen cup</t>
        </is>
      </c>
      <c r="C55" s="3" t="inlineStr">
        <is>
          <t>last-resort</t>
        </is>
      </c>
      <c r="D55" s="3" t="inlineStr">
        <is>
          <t>AliExpress Choice (non-US, last resort)</t>
        </is>
      </c>
      <c r="E55" s="3" t="inlineStr">
        <is>
          <t>https://www.aliexpress.com/item/32824372086.html</t>
        </is>
      </c>
      <c r="F55" s="5" t="n">
        <v>6.79</v>
      </c>
      <c r="G55" s="5" t="n">
        <v>0</v>
      </c>
      <c r="H55" s="5" t="n">
        <v>0</v>
      </c>
      <c r="I55" s="3" t="inlineStr">
        <is>
          <t>7 to 15 days quoted on most Choice listings; exceeds the 10-day rule</t>
        </is>
      </c>
      <c r="J55" s="3" t="inlineStr">
        <is>
          <t>7 to 15 days quoted on most Choice listings; exceeds the 10-day rule</t>
        </is>
      </c>
      <c r="K55" s="5" t="n">
        <v>15</v>
      </c>
      <c r="L55" s="3" t="inlineStr">
        <is>
          <t>China</t>
        </is>
      </c>
      <c r="M55" s="3" t="n">
        <v>1</v>
      </c>
      <c r="N55" s="3" t="inlineStr">
        <is>
          <t>unbranded mailer (confirm)</t>
        </is>
      </c>
      <c r="O55" s="3" t="inlineStr">
        <is>
          <t>AliExpress Choice: free returns within 15 days on Choice items per AliExpress; the store still owes the customer a US return route. Confirm on aliexpress.com.</t>
        </is>
      </c>
      <c r="P55" s="3" t="inlineStr">
        <is>
          <t>listing photos usable for the product page after checking the supplier licence; pins use our generated images</t>
        </is>
      </c>
      <c r="Q55" s="3" t="inlineStr">
        <is>
          <t>price seen in snippet</t>
        </is>
      </c>
      <c r="R55" s="3" t="inlineStr">
        <is>
          <t>EXCLUDED for Q4 (15+ day quote). Evergreen only if the US options fail AND margin is 10 points better. Duties apply since de minimis ended 29 Aug 2025.</t>
        </is>
      </c>
    </row>
    <row r="56">
      <c r="A56" s="2" t="inlineStr">
        <is>
          <t>E03</t>
        </is>
      </c>
      <c r="B56" s="2" t="inlineStr">
        <is>
          <t>Pink desk stationery set (stapler, tape dispenser, scissors, clips)</t>
        </is>
      </c>
      <c r="C56" s="2" t="inlineStr">
        <is>
          <t>winner</t>
        </is>
      </c>
      <c r="D56" s="2" t="inlineStr">
        <is>
          <t>CJ Dropshipping (US warehouse filter)</t>
        </is>
      </c>
      <c r="E56" s="2" t="inlineStr">
        <is>
          <t>https://cjdropshipping.com/search/desk+stationery+set+pink+stapler+tape+dispenser+scissors.html</t>
        </is>
      </c>
      <c r="F56" s="4" t="n">
        <v>7</v>
      </c>
      <c r="G56" s="4" t="n">
        <v>5.5</v>
      </c>
      <c r="H56" s="4" t="n">
        <v>5.5</v>
      </c>
      <c r="I56" s="2" t="inlineStr">
        <is>
          <t>4 to 9 days (1 to 3 processing + 3 to 6 transit, cjdropshipping.com via snippet)</t>
        </is>
      </c>
      <c r="J56" s="2" t="inlineStr">
        <is>
          <t>4 to 9 days (1 to 3 processing + 3 to 6 transit, cjdropshipping.com via snippet)</t>
        </is>
      </c>
      <c r="K56" s="4" t="n">
        <v>9</v>
      </c>
      <c r="L56" s="2" t="inlineStr">
        <is>
          <t>US (NJ or CA)</t>
        </is>
      </c>
      <c r="M56" s="2" t="n">
        <v>1</v>
      </c>
      <c r="N56" s="2" t="inlineStr">
        <is>
          <t>unbranded mailer (confirm)</t>
        </is>
      </c>
      <c r="O56" s="2" t="inlineStr">
        <is>
          <t>CJ: refund or resend for damaged, wrong or lost items; change-of-mind returns at buyer cost. Confirm on cjdropshipping.com (return policy page).</t>
        </is>
      </c>
      <c r="P56" s="2" t="inlineStr">
        <is>
          <t>listing photos usable for the product page after checking the supplier licence; pins use our generated images</t>
        </is>
      </c>
      <c r="Q56" s="2" t="inlineStr">
        <is>
          <t>estimate: cost = 40% of the US retail seen (Zendrop guide ratio $8 to $12 product on $25 retail); confirm on cjdropshipping.com</t>
        </is>
      </c>
      <c r="R56" s="2" t="inlineStr">
        <is>
          <t>Search 'desk stationery set pink stapler tape dispenser scissors' with the US Warehouse filter on. Shipping: 8 oz to 1 lb, estimate $5.50 (CJ 'about $5' example).</t>
        </is>
      </c>
    </row>
    <row r="57">
      <c r="A57" s="3" t="inlineStr">
        <is>
          <t>E03</t>
        </is>
      </c>
      <c r="B57" s="3" t="inlineStr">
        <is>
          <t>Pink desk stationery set (stapler, tape dispenser, scissors, clips)</t>
        </is>
      </c>
      <c r="C57" s="3" t="inlineStr">
        <is>
          <t>backup</t>
        </is>
      </c>
      <c r="D57" s="3" t="inlineStr">
        <is>
          <t>Zendrop (Ships From: US filter)</t>
        </is>
      </c>
      <c r="E57" s="3" t="inlineStr">
        <is>
          <t>https://app.zendrop.com/ (search 'desk stationery set pink stapler tape dispenser scissors', Ships From: US)</t>
        </is>
      </c>
      <c r="F57" s="5" t="n">
        <v>7.7</v>
      </c>
      <c r="G57" s="5" t="n">
        <v>5.5</v>
      </c>
      <c r="H57" s="5" t="n">
        <v>5.5</v>
      </c>
      <c r="I57" s="3" t="inlineStr">
        <is>
          <t>3 to 11 days (1 to 3 business days processing + 2 to 8 days, support.zendrop.com via snippet)</t>
        </is>
      </c>
      <c r="J57" s="3" t="inlineStr">
        <is>
          <t>3 to 11 days (1 to 3 business days processing + 2 to 8 days, support.zendrop.com via snippet)</t>
        </is>
      </c>
      <c r="K57" s="5" t="n">
        <v>11</v>
      </c>
      <c r="L57" s="3" t="inlineStr">
        <is>
          <t>US</t>
        </is>
      </c>
      <c r="M57" s="3" t="n">
        <v>1</v>
      </c>
      <c r="N57" s="3" t="inlineStr">
        <is>
          <t>unbranded mailer (confirm)</t>
        </is>
      </c>
      <c r="O57" s="3" t="inlineStr">
        <is>
          <t>Zendrop: refund or replacement for damaged or lost orders; change-of-mind returns not covered. Confirm on support.zendrop.com.</t>
        </is>
      </c>
      <c r="P57" s="3" t="inlineStr">
        <is>
          <t>listing photos usable for the product page after checking the supplier licence; pins use our generated images</t>
        </is>
      </c>
      <c r="Q57" s="3" t="inlineStr">
        <is>
          <t>estimate; confirm on app.zendrop.com</t>
        </is>
      </c>
      <c r="R57" s="3" t="inlineStr">
        <is>
          <t>Needs a paid Zendrop plan ($29/month for 1 to 20 linked products). Cost estimate = CJ estimate + 10%. Search 'desk stationery set pink stapler tape dispenser scissors'.</t>
        </is>
      </c>
    </row>
    <row r="58">
      <c r="A58" s="3" t="inlineStr">
        <is>
          <t>E03</t>
        </is>
      </c>
      <c r="B58" s="3" t="inlineStr">
        <is>
          <t>Pink desk stationery set (stapler, tape dispenser, scissors, clips)</t>
        </is>
      </c>
      <c r="C58" s="3" t="inlineStr">
        <is>
          <t>last-resort</t>
        </is>
      </c>
      <c r="D58" s="3" t="inlineStr">
        <is>
          <t>AliExpress Choice (non-US, last resort)</t>
        </is>
      </c>
      <c r="E58" s="3" t="inlineStr">
        <is>
          <t>https://www.aliexpress.us/w/wholesale-desk-stationery-set-pink-stapler-tape-dispenser-scissors.html</t>
        </is>
      </c>
      <c r="F58" s="5" t="n">
        <v>4.2</v>
      </c>
      <c r="G58" s="5" t="n">
        <v>0</v>
      </c>
      <c r="H58" s="5" t="n">
        <v>0</v>
      </c>
      <c r="I58" s="3" t="inlineStr">
        <is>
          <t>7 to 15 days quoted on most Choice listings; exceeds the 10-day rule</t>
        </is>
      </c>
      <c r="J58" s="3" t="inlineStr">
        <is>
          <t>7 to 15 days quoted on most Choice listings; exceeds the 10-day rule</t>
        </is>
      </c>
      <c r="K58" s="5" t="n">
        <v>15</v>
      </c>
      <c r="L58" s="3" t="inlineStr">
        <is>
          <t>China</t>
        </is>
      </c>
      <c r="M58" s="3" t="n">
        <v>1</v>
      </c>
      <c r="N58" s="3" t="inlineStr">
        <is>
          <t>unbranded mailer (confirm)</t>
        </is>
      </c>
      <c r="O58" s="3" t="inlineStr">
        <is>
          <t>AliExpress Choice: free returns within 15 days on Choice items per AliExpress; the store still owes the customer a US return route. Confirm on aliexpress.com.</t>
        </is>
      </c>
      <c r="P58" s="3" t="inlineStr">
        <is>
          <t>listing photos usable for the product page after checking the supplier licence; pins use our generated images</t>
        </is>
      </c>
      <c r="Q58" s="3" t="inlineStr">
        <is>
          <t>estimate; confirm on aliexpress.com</t>
        </is>
      </c>
      <c r="R58" s="3" t="inlineStr">
        <is>
          <t>EXCLUDED for Q4 (15+ day quote). Evergreen only if the US options fail AND margin is 10 points better. Duties apply since de minimis ended 29 Aug 2025.</t>
        </is>
      </c>
    </row>
    <row r="59">
      <c r="A59" s="2" t="inlineStr">
        <is>
          <t>E04</t>
        </is>
      </c>
      <c r="B59" s="2" t="inlineStr">
        <is>
          <t>Pink aesthetic sticky notes and tabs set</t>
        </is>
      </c>
      <c r="C59" s="2" t="inlineStr">
        <is>
          <t>winner</t>
        </is>
      </c>
      <c r="D59" s="2" t="inlineStr">
        <is>
          <t>CJ Dropshipping (US warehouse filter)</t>
        </is>
      </c>
      <c r="E59" s="2" t="inlineStr">
        <is>
          <t>https://cjdropshipping.com/search/sticky+notes+set+pink+aesthetic+tabs.html</t>
        </is>
      </c>
      <c r="F59" s="4" t="n">
        <v>2.5</v>
      </c>
      <c r="G59" s="4" t="n">
        <v>4.5</v>
      </c>
      <c r="H59" s="4" t="n">
        <v>4.5</v>
      </c>
      <c r="I59" s="2" t="inlineStr">
        <is>
          <t>4 to 9 days (1 to 3 processing + 3 to 6 transit, cjdropshipping.com via snippet)</t>
        </is>
      </c>
      <c r="J59" s="2" t="inlineStr">
        <is>
          <t>4 to 9 days (1 to 3 processing + 3 to 6 transit, cjdropshipping.com via snippet)</t>
        </is>
      </c>
      <c r="K59" s="4" t="n">
        <v>9</v>
      </c>
      <c r="L59" s="2" t="inlineStr">
        <is>
          <t>US (NJ or CA)</t>
        </is>
      </c>
      <c r="M59" s="2" t="n">
        <v>1</v>
      </c>
      <c r="N59" s="2" t="inlineStr">
        <is>
          <t>unbranded mailer (confirm)</t>
        </is>
      </c>
      <c r="O59" s="2" t="inlineStr">
        <is>
          <t>CJ: refund or resend for damaged, wrong or lost items; change-of-mind returns at buyer cost. Confirm on cjdropshipping.com (return policy page).</t>
        </is>
      </c>
      <c r="P59" s="2" t="inlineStr">
        <is>
          <t>listing photos usable for the product page after checking the supplier licence; pins use our generated images</t>
        </is>
      </c>
      <c r="Q59" s="2" t="inlineStr">
        <is>
          <t>estimate: cost = 40% of the US retail seen (Zendrop guide ratio $8 to $12 product on $25 retail); confirm on cjdropshipping.com</t>
        </is>
      </c>
      <c r="R59" s="2" t="inlineStr">
        <is>
          <t>Search 'sticky notes set pink aesthetic tabs' with the US Warehouse filter on. Shipping: under 8 oz, estimate $4.50 (Zendrop $4 to $6 band).</t>
        </is>
      </c>
    </row>
    <row r="60">
      <c r="A60" s="3" t="inlineStr">
        <is>
          <t>E04</t>
        </is>
      </c>
      <c r="B60" s="3" t="inlineStr">
        <is>
          <t>Pink aesthetic sticky notes and tabs set</t>
        </is>
      </c>
      <c r="C60" s="3" t="inlineStr">
        <is>
          <t>backup</t>
        </is>
      </c>
      <c r="D60" s="3" t="inlineStr">
        <is>
          <t>Zendrop (Ships From: US filter)</t>
        </is>
      </c>
      <c r="E60" s="3" t="inlineStr">
        <is>
          <t>https://app.zendrop.com/ (search 'sticky notes set pink aesthetic tabs', Ships From: US)</t>
        </is>
      </c>
      <c r="F60" s="5" t="n">
        <v>2.75</v>
      </c>
      <c r="G60" s="5" t="n">
        <v>4.5</v>
      </c>
      <c r="H60" s="5" t="n">
        <v>4.5</v>
      </c>
      <c r="I60" s="3" t="inlineStr">
        <is>
          <t>3 to 11 days (1 to 3 business days processing + 2 to 8 days, support.zendrop.com via snippet)</t>
        </is>
      </c>
      <c r="J60" s="3" t="inlineStr">
        <is>
          <t>3 to 11 days (1 to 3 business days processing + 2 to 8 days, support.zendrop.com via snippet)</t>
        </is>
      </c>
      <c r="K60" s="5" t="n">
        <v>11</v>
      </c>
      <c r="L60" s="3" t="inlineStr">
        <is>
          <t>US</t>
        </is>
      </c>
      <c r="M60" s="3" t="n">
        <v>1</v>
      </c>
      <c r="N60" s="3" t="inlineStr">
        <is>
          <t>unbranded mailer (confirm)</t>
        </is>
      </c>
      <c r="O60" s="3" t="inlineStr">
        <is>
          <t>Zendrop: refund or replacement for damaged or lost orders; change-of-mind returns not covered. Confirm on support.zendrop.com.</t>
        </is>
      </c>
      <c r="P60" s="3" t="inlineStr">
        <is>
          <t>listing photos usable for the product page after checking the supplier licence; pins use our generated images</t>
        </is>
      </c>
      <c r="Q60" s="3" t="inlineStr">
        <is>
          <t>estimate; confirm on app.zendrop.com</t>
        </is>
      </c>
      <c r="R60" s="3" t="inlineStr">
        <is>
          <t>Needs a paid Zendrop plan ($29/month for 1 to 20 linked products). Cost estimate = CJ estimate + 10%. Search 'sticky notes set pink aesthetic tabs'.</t>
        </is>
      </c>
    </row>
    <row r="61">
      <c r="A61" s="3" t="inlineStr">
        <is>
          <t>E04</t>
        </is>
      </c>
      <c r="B61" s="3" t="inlineStr">
        <is>
          <t>Pink aesthetic sticky notes and tabs set</t>
        </is>
      </c>
      <c r="C61" s="3" t="inlineStr">
        <is>
          <t>last-resort</t>
        </is>
      </c>
      <c r="D61" s="3" t="inlineStr">
        <is>
          <t>AliExpress Choice (non-US, last resort)</t>
        </is>
      </c>
      <c r="E61" s="3" t="inlineStr">
        <is>
          <t>https://www.aliexpress.us/w/wholesale-sticky-notes-set-pink-aesthetic-tabs.html</t>
        </is>
      </c>
      <c r="F61" s="5" t="n">
        <v>1.5</v>
      </c>
      <c r="G61" s="5" t="n">
        <v>0</v>
      </c>
      <c r="H61" s="5" t="n">
        <v>0</v>
      </c>
      <c r="I61" s="3" t="inlineStr">
        <is>
          <t>7 to 15 days quoted on most Choice listings; exceeds the 10-day rule</t>
        </is>
      </c>
      <c r="J61" s="3" t="inlineStr">
        <is>
          <t>7 to 15 days quoted on most Choice listings; exceeds the 10-day rule</t>
        </is>
      </c>
      <c r="K61" s="5" t="n">
        <v>15</v>
      </c>
      <c r="L61" s="3" t="inlineStr">
        <is>
          <t>China</t>
        </is>
      </c>
      <c r="M61" s="3" t="n">
        <v>1</v>
      </c>
      <c r="N61" s="3" t="inlineStr">
        <is>
          <t>unbranded mailer (confirm)</t>
        </is>
      </c>
      <c r="O61" s="3" t="inlineStr">
        <is>
          <t>AliExpress Choice: free returns within 15 days on Choice items per AliExpress; the store still owes the customer a US return route. Confirm on aliexpress.com.</t>
        </is>
      </c>
      <c r="P61" s="3" t="inlineStr">
        <is>
          <t>listing photos usable for the product page after checking the supplier licence; pins use our generated images</t>
        </is>
      </c>
      <c r="Q61" s="3" t="inlineStr">
        <is>
          <t>estimate; confirm on aliexpress.com</t>
        </is>
      </c>
      <c r="R61" s="3" t="inlineStr">
        <is>
          <t>EXCLUDED for Q4 (15+ day quote). Evergreen only if the US options fail AND margin is 10 points better. Duties apply since de minimis ended 29 Aug 2025.</t>
        </is>
      </c>
    </row>
    <row r="62">
      <c r="A62" s="2" t="inlineStr">
        <is>
          <t>E05</t>
        </is>
      </c>
      <c r="B62" s="2" t="inlineStr">
        <is>
          <t>Pink wooden monitor riser with drawer</t>
        </is>
      </c>
      <c r="C62" s="2" t="inlineStr">
        <is>
          <t>winner</t>
        </is>
      </c>
      <c r="D62" s="2" t="inlineStr">
        <is>
          <t>CJ Dropshipping (US warehouse filter)</t>
        </is>
      </c>
      <c r="E62" s="2" t="inlineStr">
        <is>
          <t>https://cjdropshipping.com/search/monitor+stand+riser+wood+drawer+pink.html</t>
        </is>
      </c>
      <c r="F62" s="4" t="n">
        <v>14</v>
      </c>
      <c r="G62" s="4" t="n">
        <v>8.15</v>
      </c>
      <c r="H62" s="4" t="n">
        <v>8.15</v>
      </c>
      <c r="I62" s="2" t="inlineStr">
        <is>
          <t>4 to 9 days (1 to 3 processing + 3 to 6 transit, cjdropshipping.com via snippet)</t>
        </is>
      </c>
      <c r="J62" s="2" t="inlineStr">
        <is>
          <t>4 to 9 days (1 to 3 processing + 3 to 6 transit, cjdropshipping.com via snippet)</t>
        </is>
      </c>
      <c r="K62" s="4" t="n">
        <v>9</v>
      </c>
      <c r="L62" s="2" t="inlineStr">
        <is>
          <t>US (NJ or CA)</t>
        </is>
      </c>
      <c r="M62" s="2" t="n">
        <v>1</v>
      </c>
      <c r="N62" s="2" t="inlineStr">
        <is>
          <t>unbranded mailer (confirm)</t>
        </is>
      </c>
      <c r="O62" s="2" t="inlineStr">
        <is>
          <t>CJ: refund or resend for damaged, wrong or lost items; change-of-mind returns at buyer cost. Confirm on cjdropshipping.com (return policy page).</t>
        </is>
      </c>
      <c r="P62" s="2" t="inlineStr">
        <is>
          <t>listing photos usable for the product page after checking the supplier licence; pins use our generated images</t>
        </is>
      </c>
      <c r="Q62" s="2" t="inlineStr">
        <is>
          <t>estimate: cost = 40% of the US retail seen (Zendrop guide ratio $8 to $12 product on $25 retail); confirm on cjdropshipping.com</t>
        </is>
      </c>
      <c r="R62" s="2" t="inlineStr">
        <is>
          <t>Search 'monitor stand riser wood drawer pink' with the US Warehouse filter on. Shipping: 1 to 2 lb, USPS Ground Advantage commercial 1 lb zone 4 $8.15 seen.</t>
        </is>
      </c>
    </row>
    <row r="63">
      <c r="A63" s="3" t="inlineStr">
        <is>
          <t>E05</t>
        </is>
      </c>
      <c r="B63" s="3" t="inlineStr">
        <is>
          <t>Pink wooden monitor riser with drawer</t>
        </is>
      </c>
      <c r="C63" s="3" t="inlineStr">
        <is>
          <t>backup</t>
        </is>
      </c>
      <c r="D63" s="3" t="inlineStr">
        <is>
          <t>Zendrop (Ships From: US filter)</t>
        </is>
      </c>
      <c r="E63" s="3" t="inlineStr">
        <is>
          <t>https://app.zendrop.com/ (search 'monitor stand riser wood drawer pink', Ships From: US)</t>
        </is>
      </c>
      <c r="F63" s="5" t="n">
        <v>15.4</v>
      </c>
      <c r="G63" s="5" t="n">
        <v>8.15</v>
      </c>
      <c r="H63" s="5" t="n">
        <v>8.15</v>
      </c>
      <c r="I63" s="3" t="inlineStr">
        <is>
          <t>3 to 11 days (1 to 3 business days processing + 2 to 8 days, support.zendrop.com via snippet)</t>
        </is>
      </c>
      <c r="J63" s="3" t="inlineStr">
        <is>
          <t>3 to 11 days (1 to 3 business days processing + 2 to 8 days, support.zendrop.com via snippet)</t>
        </is>
      </c>
      <c r="K63" s="5" t="n">
        <v>11</v>
      </c>
      <c r="L63" s="3" t="inlineStr">
        <is>
          <t>US</t>
        </is>
      </c>
      <c r="M63" s="3" t="n">
        <v>1</v>
      </c>
      <c r="N63" s="3" t="inlineStr">
        <is>
          <t>unbranded mailer (confirm)</t>
        </is>
      </c>
      <c r="O63" s="3" t="inlineStr">
        <is>
          <t>Zendrop: refund or replacement for damaged or lost orders; change-of-mind returns not covered. Confirm on support.zendrop.com.</t>
        </is>
      </c>
      <c r="P63" s="3" t="inlineStr">
        <is>
          <t>listing photos usable for the product page after checking the supplier licence; pins use our generated images</t>
        </is>
      </c>
      <c r="Q63" s="3" t="inlineStr">
        <is>
          <t>estimate; confirm on app.zendrop.com</t>
        </is>
      </c>
      <c r="R63" s="3" t="inlineStr">
        <is>
          <t>Needs a paid Zendrop plan ($29/month for 1 to 20 linked products). Cost estimate = CJ estimate + 10%. Search 'monitor stand riser wood drawer pink'.</t>
        </is>
      </c>
    </row>
    <row r="64">
      <c r="A64" s="3" t="inlineStr">
        <is>
          <t>E05</t>
        </is>
      </c>
      <c r="B64" s="3" t="inlineStr">
        <is>
          <t>Pink wooden monitor riser with drawer</t>
        </is>
      </c>
      <c r="C64" s="3" t="inlineStr">
        <is>
          <t>last-resort</t>
        </is>
      </c>
      <c r="D64" s="3" t="inlineStr">
        <is>
          <t>AliExpress Choice (non-US, last resort)</t>
        </is>
      </c>
      <c r="E64" s="3" t="inlineStr">
        <is>
          <t>https://www.aliexpress.us/w/wholesale-monitor-stand-riser-wood-drawer-pink.html</t>
        </is>
      </c>
      <c r="F64" s="5" t="n">
        <v>30.5</v>
      </c>
      <c r="G64" s="5" t="n">
        <v>0</v>
      </c>
      <c r="H64" s="5" t="n">
        <v>0</v>
      </c>
      <c r="I64" s="3" t="inlineStr">
        <is>
          <t>7 to 15 days quoted on most Choice listings; exceeds the 10-day rule</t>
        </is>
      </c>
      <c r="J64" s="3" t="inlineStr">
        <is>
          <t>7 to 15 days quoted on most Choice listings; exceeds the 10-day rule</t>
        </is>
      </c>
      <c r="K64" s="5" t="n">
        <v>15</v>
      </c>
      <c r="L64" s="3" t="inlineStr">
        <is>
          <t>China</t>
        </is>
      </c>
      <c r="M64" s="3" t="n">
        <v>1</v>
      </c>
      <c r="N64" s="3" t="inlineStr">
        <is>
          <t>unbranded mailer (confirm)</t>
        </is>
      </c>
      <c r="O64" s="3" t="inlineStr">
        <is>
          <t>AliExpress Choice: free returns within 15 days on Choice items per AliExpress; the store still owes the customer a US return route. Confirm on aliexpress.com.</t>
        </is>
      </c>
      <c r="P64" s="3" t="inlineStr">
        <is>
          <t>listing photos usable for the product page after checking the supplier licence; pins use our generated images</t>
        </is>
      </c>
      <c r="Q64" s="3" t="inlineStr">
        <is>
          <t>price seen in snippet</t>
        </is>
      </c>
      <c r="R64" s="3" t="inlineStr">
        <is>
          <t>EXCLUDED for Q4 (15+ day quote). Evergreen only if the US options fail AND margin is 10 points better. Duties apply since de minimis ended 29 Aug 2025.</t>
        </is>
      </c>
    </row>
    <row r="65">
      <c r="A65" s="2" t="inlineStr">
        <is>
          <t>E06</t>
        </is>
      </c>
      <c r="B65" s="2" t="inlineStr">
        <is>
          <t>Cream laptop sleeve with pink bow, 13 to 14 inch</t>
        </is>
      </c>
      <c r="C65" s="2" t="inlineStr">
        <is>
          <t>winner</t>
        </is>
      </c>
      <c r="D65" s="2" t="inlineStr">
        <is>
          <t>CJ Dropshipping (US warehouse filter)</t>
        </is>
      </c>
      <c r="E65" s="2" t="inlineStr">
        <is>
          <t>https://cjdropshipping.com/search/laptop+sleeve+13+14+inch+bow+cream.html</t>
        </is>
      </c>
      <c r="F65" s="4" t="n">
        <v>5</v>
      </c>
      <c r="G65" s="4" t="n">
        <v>5.5</v>
      </c>
      <c r="H65" s="4" t="n">
        <v>5.5</v>
      </c>
      <c r="I65" s="2" t="inlineStr">
        <is>
          <t>4 to 9 days (1 to 3 processing + 3 to 6 transit, cjdropshipping.com via snippet)</t>
        </is>
      </c>
      <c r="J65" s="2" t="inlineStr">
        <is>
          <t>4 to 9 days (1 to 3 processing + 3 to 6 transit, cjdropshipping.com via snippet)</t>
        </is>
      </c>
      <c r="K65" s="4" t="n">
        <v>9</v>
      </c>
      <c r="L65" s="2" t="inlineStr">
        <is>
          <t>US (NJ or CA)</t>
        </is>
      </c>
      <c r="M65" s="2" t="n">
        <v>1</v>
      </c>
      <c r="N65" s="2" t="inlineStr">
        <is>
          <t>unbranded mailer (confirm)</t>
        </is>
      </c>
      <c r="O65" s="2" t="inlineStr">
        <is>
          <t>CJ: refund or resend for damaged, wrong or lost items; change-of-mind returns at buyer cost. Confirm on cjdropshipping.com (return policy page).</t>
        </is>
      </c>
      <c r="P65" s="2" t="inlineStr">
        <is>
          <t>listing photos usable for the product page after checking the supplier licence; pins use our generated images</t>
        </is>
      </c>
      <c r="Q65" s="2" t="inlineStr">
        <is>
          <t>estimate: cost = 40% of the US retail seen (Zendrop guide ratio $8 to $12 product on $25 retail); confirm on cjdropshipping.com</t>
        </is>
      </c>
      <c r="R65" s="2" t="inlineStr">
        <is>
          <t>Search 'laptop sleeve 13 14 inch bow cream' with the US Warehouse filter on. Shipping: 8 oz to 1 lb, estimate $5.50 (CJ 'about $5' example).</t>
        </is>
      </c>
    </row>
    <row r="66">
      <c r="A66" s="3" t="inlineStr">
        <is>
          <t>E06</t>
        </is>
      </c>
      <c r="B66" s="3" t="inlineStr">
        <is>
          <t>Cream laptop sleeve with pink bow, 13 to 14 inch</t>
        </is>
      </c>
      <c r="C66" s="3" t="inlineStr">
        <is>
          <t>backup</t>
        </is>
      </c>
      <c r="D66" s="3" t="inlineStr">
        <is>
          <t>Zendrop (Ships From: US filter)</t>
        </is>
      </c>
      <c r="E66" s="3" t="inlineStr">
        <is>
          <t>https://app.zendrop.com/ (search 'laptop sleeve 13 14 inch bow cream', Ships From: US)</t>
        </is>
      </c>
      <c r="F66" s="5" t="n">
        <v>5.5</v>
      </c>
      <c r="G66" s="5" t="n">
        <v>5.5</v>
      </c>
      <c r="H66" s="5" t="n">
        <v>5.5</v>
      </c>
      <c r="I66" s="3" t="inlineStr">
        <is>
          <t>3 to 11 days (1 to 3 business days processing + 2 to 8 days, support.zendrop.com via snippet)</t>
        </is>
      </c>
      <c r="J66" s="3" t="inlineStr">
        <is>
          <t>3 to 11 days (1 to 3 business days processing + 2 to 8 days, support.zendrop.com via snippet)</t>
        </is>
      </c>
      <c r="K66" s="5" t="n">
        <v>11</v>
      </c>
      <c r="L66" s="3" t="inlineStr">
        <is>
          <t>US</t>
        </is>
      </c>
      <c r="M66" s="3" t="n">
        <v>1</v>
      </c>
      <c r="N66" s="3" t="inlineStr">
        <is>
          <t>unbranded mailer (confirm)</t>
        </is>
      </c>
      <c r="O66" s="3" t="inlineStr">
        <is>
          <t>Zendrop: refund or replacement for damaged or lost orders; change-of-mind returns not covered. Confirm on support.zendrop.com.</t>
        </is>
      </c>
      <c r="P66" s="3" t="inlineStr">
        <is>
          <t>listing photos usable for the product page after checking the supplier licence; pins use our generated images</t>
        </is>
      </c>
      <c r="Q66" s="3" t="inlineStr">
        <is>
          <t>estimate; confirm on app.zendrop.com</t>
        </is>
      </c>
      <c r="R66" s="3" t="inlineStr">
        <is>
          <t>Needs a paid Zendrop plan ($29/month for 1 to 20 linked products). Cost estimate = CJ estimate + 10%. Search 'laptop sleeve 13 14 inch bow cream'.</t>
        </is>
      </c>
    </row>
    <row r="67">
      <c r="A67" s="3" t="inlineStr">
        <is>
          <t>E06</t>
        </is>
      </c>
      <c r="B67" s="3" t="inlineStr">
        <is>
          <t>Cream laptop sleeve with pink bow, 13 to 14 inch</t>
        </is>
      </c>
      <c r="C67" s="3" t="inlineStr">
        <is>
          <t>last-resort</t>
        </is>
      </c>
      <c r="D67" s="3" t="inlineStr">
        <is>
          <t>AliExpress Choice (non-US, last resort)</t>
        </is>
      </c>
      <c r="E67" s="3" t="inlineStr">
        <is>
          <t>https://www.aliexpress.us/w/wholesale-laptop-sleeve-13-14-inch-bow-cream.html</t>
        </is>
      </c>
      <c r="F67" s="5" t="n">
        <v>3</v>
      </c>
      <c r="G67" s="5" t="n">
        <v>0</v>
      </c>
      <c r="H67" s="5" t="n">
        <v>0</v>
      </c>
      <c r="I67" s="3" t="inlineStr">
        <is>
          <t>7 to 15 days quoted on most Choice listings; exceeds the 10-day rule</t>
        </is>
      </c>
      <c r="J67" s="3" t="inlineStr">
        <is>
          <t>7 to 15 days quoted on most Choice listings; exceeds the 10-day rule</t>
        </is>
      </c>
      <c r="K67" s="5" t="n">
        <v>15</v>
      </c>
      <c r="L67" s="3" t="inlineStr">
        <is>
          <t>China</t>
        </is>
      </c>
      <c r="M67" s="3" t="n">
        <v>1</v>
      </c>
      <c r="N67" s="3" t="inlineStr">
        <is>
          <t>unbranded mailer (confirm)</t>
        </is>
      </c>
      <c r="O67" s="3" t="inlineStr">
        <is>
          <t>AliExpress Choice: free returns within 15 days on Choice items per AliExpress; the store still owes the customer a US return route. Confirm on aliexpress.com.</t>
        </is>
      </c>
      <c r="P67" s="3" t="inlineStr">
        <is>
          <t>listing photos usable for the product page after checking the supplier licence; pins use our generated images</t>
        </is>
      </c>
      <c r="Q67" s="3" t="inlineStr">
        <is>
          <t>estimate; confirm on aliexpress.com</t>
        </is>
      </c>
      <c r="R67" s="3" t="inlineStr">
        <is>
          <t>EXCLUDED for Q4 (15+ day quote). Evergreen only if the US options fail AND margin is 10 points better. Duties apply since de minimis ended 29 Aug 2025.</t>
        </is>
      </c>
    </row>
    <row r="68">
      <c r="A68" s="2" t="inlineStr">
        <is>
          <t>E07</t>
        </is>
      </c>
      <c r="B68" s="2" t="inlineStr">
        <is>
          <t>Pink quilted puffer laptop tote</t>
        </is>
      </c>
      <c r="C68" s="2" t="inlineStr">
        <is>
          <t>winner</t>
        </is>
      </c>
      <c r="D68" s="2" t="inlineStr">
        <is>
          <t>CJ Dropshipping (US warehouse filter)</t>
        </is>
      </c>
      <c r="E68" s="2" t="inlineStr">
        <is>
          <t>https://m.cjdropshipping.com/product/details/1392009095543918592</t>
        </is>
      </c>
      <c r="F68" s="4" t="n">
        <v>12</v>
      </c>
      <c r="G68" s="4" t="n">
        <v>5.5</v>
      </c>
      <c r="H68" s="4" t="n">
        <v>5.5</v>
      </c>
      <c r="I68" s="2" t="inlineStr">
        <is>
          <t>4 to 9 days (1 to 3 processing + 3 to 6 transit, cjdropshipping.com via snippet)</t>
        </is>
      </c>
      <c r="J68" s="2" t="inlineStr">
        <is>
          <t>4 to 9 days (1 to 3 processing + 3 to 6 transit, cjdropshipping.com via snippet)</t>
        </is>
      </c>
      <c r="K68" s="4" t="n">
        <v>9</v>
      </c>
      <c r="L68" s="2" t="inlineStr">
        <is>
          <t>US (NJ or CA)</t>
        </is>
      </c>
      <c r="M68" s="2" t="n">
        <v>1</v>
      </c>
      <c r="N68" s="2" t="inlineStr">
        <is>
          <t>unbranded mailer (confirm)</t>
        </is>
      </c>
      <c r="O68" s="2" t="inlineStr">
        <is>
          <t>CJ: refund or resend for damaged, wrong or lost items; change-of-mind returns at buyer cost. Confirm on cjdropshipping.com (return policy page).</t>
        </is>
      </c>
      <c r="P68" s="2" t="inlineStr">
        <is>
          <t>listing photos usable for the product page after checking the supplier licence; pins use our generated images</t>
        </is>
      </c>
      <c r="Q68" s="2" t="inlineStr">
        <is>
          <t>listing found via search; price not visible in snippet, cost is an estimate; confirm on cjdropshipping.com</t>
        </is>
      </c>
      <c r="R68" s="2" t="inlineStr">
        <is>
          <t>Search 'puffer tote bag quilted pink laptop' with the US Warehouse filter on. Shipping: 8 oz to 1 lb, estimate $5.50 (CJ 'about $5' example).</t>
        </is>
      </c>
    </row>
    <row r="69">
      <c r="A69" s="3" t="inlineStr">
        <is>
          <t>E07</t>
        </is>
      </c>
      <c r="B69" s="3" t="inlineStr">
        <is>
          <t>Pink quilted puffer laptop tote</t>
        </is>
      </c>
      <c r="C69" s="3" t="inlineStr">
        <is>
          <t>backup</t>
        </is>
      </c>
      <c r="D69" s="3" t="inlineStr">
        <is>
          <t>Zendrop (Ships From: US filter)</t>
        </is>
      </c>
      <c r="E69" s="3" t="inlineStr">
        <is>
          <t>https://app.zendrop.com/ (search 'puffer tote bag quilted pink laptop', Ships From: US)</t>
        </is>
      </c>
      <c r="F69" s="5" t="n">
        <v>13.2</v>
      </c>
      <c r="G69" s="5" t="n">
        <v>5.5</v>
      </c>
      <c r="H69" s="5" t="n">
        <v>5.5</v>
      </c>
      <c r="I69" s="3" t="inlineStr">
        <is>
          <t>3 to 11 days (1 to 3 business days processing + 2 to 8 days, support.zendrop.com via snippet)</t>
        </is>
      </c>
      <c r="J69" s="3" t="inlineStr">
        <is>
          <t>3 to 11 days (1 to 3 business days processing + 2 to 8 days, support.zendrop.com via snippet)</t>
        </is>
      </c>
      <c r="K69" s="5" t="n">
        <v>11</v>
      </c>
      <c r="L69" s="3" t="inlineStr">
        <is>
          <t>US</t>
        </is>
      </c>
      <c r="M69" s="3" t="n">
        <v>1</v>
      </c>
      <c r="N69" s="3" t="inlineStr">
        <is>
          <t>unbranded mailer (confirm)</t>
        </is>
      </c>
      <c r="O69" s="3" t="inlineStr">
        <is>
          <t>Zendrop: refund or replacement for damaged or lost orders; change-of-mind returns not covered. Confirm on support.zendrop.com.</t>
        </is>
      </c>
      <c r="P69" s="3" t="inlineStr">
        <is>
          <t>listing photos usable for the product page after checking the supplier licence; pins use our generated images</t>
        </is>
      </c>
      <c r="Q69" s="3" t="inlineStr">
        <is>
          <t>estimate; confirm on app.zendrop.com</t>
        </is>
      </c>
      <c r="R69" s="3" t="inlineStr">
        <is>
          <t>Needs a paid Zendrop plan ($29/month for 1 to 20 linked products). Cost estimate = CJ estimate + 10%. Search 'puffer tote bag quilted pink laptop'.</t>
        </is>
      </c>
    </row>
    <row r="70">
      <c r="A70" s="3" t="inlineStr">
        <is>
          <t>E07</t>
        </is>
      </c>
      <c r="B70" s="3" t="inlineStr">
        <is>
          <t>Pink quilted puffer laptop tote</t>
        </is>
      </c>
      <c r="C70" s="3" t="inlineStr">
        <is>
          <t>last-resort</t>
        </is>
      </c>
      <c r="D70" s="3" t="inlineStr">
        <is>
          <t>AliExpress Choice (non-US, last resort)</t>
        </is>
      </c>
      <c r="E70" s="3" t="inlineStr">
        <is>
          <t>https://www.aliexpress.us/w/wholesale-puffer-tote-bag-quilted-pink-laptop.html</t>
        </is>
      </c>
      <c r="F70" s="5" t="n">
        <v>7.2</v>
      </c>
      <c r="G70" s="5" t="n">
        <v>0</v>
      </c>
      <c r="H70" s="5" t="n">
        <v>0</v>
      </c>
      <c r="I70" s="3" t="inlineStr">
        <is>
          <t>7 to 15 days quoted on most Choice listings; exceeds the 10-day rule</t>
        </is>
      </c>
      <c r="J70" s="3" t="inlineStr">
        <is>
          <t>7 to 15 days quoted on most Choice listings; exceeds the 10-day rule</t>
        </is>
      </c>
      <c r="K70" s="5" t="n">
        <v>15</v>
      </c>
      <c r="L70" s="3" t="inlineStr">
        <is>
          <t>China</t>
        </is>
      </c>
      <c r="M70" s="3" t="n">
        <v>1</v>
      </c>
      <c r="N70" s="3" t="inlineStr">
        <is>
          <t>unbranded mailer (confirm)</t>
        </is>
      </c>
      <c r="O70" s="3" t="inlineStr">
        <is>
          <t>AliExpress Choice: free returns within 15 days on Choice items per AliExpress; the store still owes the customer a US return route. Confirm on aliexpress.com.</t>
        </is>
      </c>
      <c r="P70" s="3" t="inlineStr">
        <is>
          <t>listing photos usable for the product page after checking the supplier licence; pins use our generated images</t>
        </is>
      </c>
      <c r="Q70" s="3" t="inlineStr">
        <is>
          <t>estimate; confirm on aliexpress.com</t>
        </is>
      </c>
      <c r="R70" s="3" t="inlineStr">
        <is>
          <t>EXCLUDED for Q4 (15+ day quote). Evergreen only if the US options fail AND margin is 10 points better. Duties apply since de minimis ended 29 Aug 2025.</t>
        </is>
      </c>
    </row>
    <row r="71">
      <c r="A71" s="2" t="inlineStr">
        <is>
          <t>E08</t>
        </is>
      </c>
      <c r="B71" s="2" t="inlineStr">
        <is>
          <t>Fluffy pink steering wheel cover, universal 15 inch</t>
        </is>
      </c>
      <c r="C71" s="2" t="inlineStr">
        <is>
          <t>winner</t>
        </is>
      </c>
      <c r="D71" s="2" t="inlineStr">
        <is>
          <t>CJ Dropshipping (US warehouse filter)</t>
        </is>
      </c>
      <c r="E71" s="2" t="inlineStr">
        <is>
          <t>https://cjdropshipping.com/search/fluffy+steering+wheel+cover+pink+plush.html</t>
        </is>
      </c>
      <c r="F71" s="4" t="n">
        <v>6</v>
      </c>
      <c r="G71" s="4" t="n">
        <v>5.5</v>
      </c>
      <c r="H71" s="4" t="n">
        <v>5.5</v>
      </c>
      <c r="I71" s="2" t="inlineStr">
        <is>
          <t>4 to 9 days (1 to 3 processing + 3 to 6 transit, cjdropshipping.com via snippet)</t>
        </is>
      </c>
      <c r="J71" s="2" t="inlineStr">
        <is>
          <t>4 to 9 days (1 to 3 processing + 3 to 6 transit, cjdropshipping.com via snippet)</t>
        </is>
      </c>
      <c r="K71" s="4" t="n">
        <v>9</v>
      </c>
      <c r="L71" s="2" t="inlineStr">
        <is>
          <t>US (NJ or CA)</t>
        </is>
      </c>
      <c r="M71" s="2" t="n">
        <v>1</v>
      </c>
      <c r="N71" s="2" t="inlineStr">
        <is>
          <t>unbranded mailer (confirm)</t>
        </is>
      </c>
      <c r="O71" s="2" t="inlineStr">
        <is>
          <t>CJ: refund or resend for damaged, wrong or lost items; change-of-mind returns at buyer cost. Confirm on cjdropshipping.com (return policy page).</t>
        </is>
      </c>
      <c r="P71" s="2" t="inlineStr">
        <is>
          <t>listing photos usable for the product page after checking the supplier licence; pins use our generated images</t>
        </is>
      </c>
      <c r="Q71" s="2" t="inlineStr">
        <is>
          <t>estimate: cost = 40% of the US retail seen (Zendrop guide ratio $8 to $12 product on $25 retail); confirm on cjdropshipping.com</t>
        </is>
      </c>
      <c r="R71" s="2" t="inlineStr">
        <is>
          <t>Search 'fluffy steering wheel cover pink plush' with the US Warehouse filter on. Shipping: 8 oz to 1 lb, estimate $5.50 (CJ 'about $5' example).</t>
        </is>
      </c>
    </row>
    <row r="72">
      <c r="A72" s="3" t="inlineStr">
        <is>
          <t>E08</t>
        </is>
      </c>
      <c r="B72" s="3" t="inlineStr">
        <is>
          <t>Fluffy pink steering wheel cover, universal 15 inch</t>
        </is>
      </c>
      <c r="C72" s="3" t="inlineStr">
        <is>
          <t>backup</t>
        </is>
      </c>
      <c r="D72" s="3" t="inlineStr">
        <is>
          <t>Zendrop (Ships From: US filter)</t>
        </is>
      </c>
      <c r="E72" s="3" t="inlineStr">
        <is>
          <t>https://app.zendrop.com/ (search 'fluffy steering wheel cover pink plush', Ships From: US)</t>
        </is>
      </c>
      <c r="F72" s="5" t="n">
        <v>6.6</v>
      </c>
      <c r="G72" s="5" t="n">
        <v>5.5</v>
      </c>
      <c r="H72" s="5" t="n">
        <v>5.5</v>
      </c>
      <c r="I72" s="3" t="inlineStr">
        <is>
          <t>3 to 11 days (1 to 3 business days processing + 2 to 8 days, support.zendrop.com via snippet)</t>
        </is>
      </c>
      <c r="J72" s="3" t="inlineStr">
        <is>
          <t>3 to 11 days (1 to 3 business days processing + 2 to 8 days, support.zendrop.com via snippet)</t>
        </is>
      </c>
      <c r="K72" s="5" t="n">
        <v>11</v>
      </c>
      <c r="L72" s="3" t="inlineStr">
        <is>
          <t>US</t>
        </is>
      </c>
      <c r="M72" s="3" t="n">
        <v>1</v>
      </c>
      <c r="N72" s="3" t="inlineStr">
        <is>
          <t>unbranded mailer (confirm)</t>
        </is>
      </c>
      <c r="O72" s="3" t="inlineStr">
        <is>
          <t>Zendrop: refund or replacement for damaged or lost orders; change-of-mind returns not covered. Confirm on support.zendrop.com.</t>
        </is>
      </c>
      <c r="P72" s="3" t="inlineStr">
        <is>
          <t>listing photos usable for the product page after checking the supplier licence; pins use our generated images</t>
        </is>
      </c>
      <c r="Q72" s="3" t="inlineStr">
        <is>
          <t>estimate; confirm on app.zendrop.com</t>
        </is>
      </c>
      <c r="R72" s="3" t="inlineStr">
        <is>
          <t>Needs a paid Zendrop plan ($29/month for 1 to 20 linked products). Cost estimate = CJ estimate + 10%. Search 'fluffy steering wheel cover pink plush'.</t>
        </is>
      </c>
    </row>
    <row r="73">
      <c r="A73" s="3" t="inlineStr">
        <is>
          <t>E08</t>
        </is>
      </c>
      <c r="B73" s="3" t="inlineStr">
        <is>
          <t>Fluffy pink steering wheel cover, universal 15 inch</t>
        </is>
      </c>
      <c r="C73" s="3" t="inlineStr">
        <is>
          <t>last-resort</t>
        </is>
      </c>
      <c r="D73" s="3" t="inlineStr">
        <is>
          <t>AliExpress Choice (non-US, last resort)</t>
        </is>
      </c>
      <c r="E73" s="3" t="inlineStr">
        <is>
          <t>https://www.aliexpress.com/item/1005005267863833.html</t>
        </is>
      </c>
      <c r="F73" s="5" t="n">
        <v>3.6</v>
      </c>
      <c r="G73" s="5" t="n">
        <v>0</v>
      </c>
      <c r="H73" s="5" t="n">
        <v>0</v>
      </c>
      <c r="I73" s="3" t="inlineStr">
        <is>
          <t>7 to 15 days quoted on most Choice listings; exceeds the 10-day rule</t>
        </is>
      </c>
      <c r="J73" s="3" t="inlineStr">
        <is>
          <t>7 to 15 days quoted on most Choice listings; exceeds the 10-day rule</t>
        </is>
      </c>
      <c r="K73" s="5" t="n">
        <v>15</v>
      </c>
      <c r="L73" s="3" t="inlineStr">
        <is>
          <t>China</t>
        </is>
      </c>
      <c r="M73" s="3" t="n">
        <v>1</v>
      </c>
      <c r="N73" s="3" t="inlineStr">
        <is>
          <t>unbranded mailer (confirm)</t>
        </is>
      </c>
      <c r="O73" s="3" t="inlineStr">
        <is>
          <t>AliExpress Choice: free returns within 15 days on Choice items per AliExpress; the store still owes the customer a US return route. Confirm on aliexpress.com.</t>
        </is>
      </c>
      <c r="P73" s="3" t="inlineStr">
        <is>
          <t>listing photos usable for the product page after checking the supplier licence; pins use our generated images</t>
        </is>
      </c>
      <c r="Q73" s="3" t="inlineStr">
        <is>
          <t>estimate; confirm on aliexpress.com</t>
        </is>
      </c>
      <c r="R73" s="3" t="inlineStr">
        <is>
          <t>EXCLUDED for Q4 (15+ day quote). Evergreen only if the US options fail AND margin is 10 points better. Duties apply since de minimis ended 29 Aug 2025.</t>
        </is>
      </c>
    </row>
    <row r="74">
      <c r="A74" s="2" t="inlineStr">
        <is>
          <t>E09</t>
        </is>
      </c>
      <c r="B74" s="2" t="inlineStr">
        <is>
          <t>Pink leak-proof car trash can with lid</t>
        </is>
      </c>
      <c r="C74" s="2" t="inlineStr">
        <is>
          <t>winner</t>
        </is>
      </c>
      <c r="D74" s="2" t="inlineStr">
        <is>
          <t>CJ Dropshipping (US warehouse filter)</t>
        </is>
      </c>
      <c r="E74" s="2" t="inlineStr">
        <is>
          <t>https://cjdropshipping.com/search/car+trash+can+leak+proof+pink+lid.html</t>
        </is>
      </c>
      <c r="F74" s="4" t="n">
        <v>6</v>
      </c>
      <c r="G74" s="4" t="n">
        <v>5.5</v>
      </c>
      <c r="H74" s="4" t="n">
        <v>5.5</v>
      </c>
      <c r="I74" s="2" t="inlineStr">
        <is>
          <t>4 to 9 days (1 to 3 processing + 3 to 6 transit, cjdropshipping.com via snippet)</t>
        </is>
      </c>
      <c r="J74" s="2" t="inlineStr">
        <is>
          <t>4 to 9 days (1 to 3 processing + 3 to 6 transit, cjdropshipping.com via snippet)</t>
        </is>
      </c>
      <c r="K74" s="4" t="n">
        <v>9</v>
      </c>
      <c r="L74" s="2" t="inlineStr">
        <is>
          <t>US (NJ or CA)</t>
        </is>
      </c>
      <c r="M74" s="2" t="n">
        <v>1</v>
      </c>
      <c r="N74" s="2" t="inlineStr">
        <is>
          <t>unbranded mailer (confirm)</t>
        </is>
      </c>
      <c r="O74" s="2" t="inlineStr">
        <is>
          <t>CJ: refund or resend for damaged, wrong or lost items; change-of-mind returns at buyer cost. Confirm on cjdropshipping.com (return policy page).</t>
        </is>
      </c>
      <c r="P74" s="2" t="inlineStr">
        <is>
          <t>listing photos usable for the product page after checking the supplier licence; pins use our generated images</t>
        </is>
      </c>
      <c r="Q74" s="2" t="inlineStr">
        <is>
          <t>estimate: cost = 40% of the US retail seen (Zendrop guide ratio $8 to $12 product on $25 retail); confirm on cjdropshipping.com</t>
        </is>
      </c>
      <c r="R74" s="2" t="inlineStr">
        <is>
          <t>Search 'car trash can leak proof pink lid' with the US Warehouse filter on. Shipping: 8 oz to 1 lb, estimate $5.50 (CJ 'about $5' example).</t>
        </is>
      </c>
    </row>
    <row r="75">
      <c r="A75" s="3" t="inlineStr">
        <is>
          <t>E09</t>
        </is>
      </c>
      <c r="B75" s="3" t="inlineStr">
        <is>
          <t>Pink leak-proof car trash can with lid</t>
        </is>
      </c>
      <c r="C75" s="3" t="inlineStr">
        <is>
          <t>backup</t>
        </is>
      </c>
      <c r="D75" s="3" t="inlineStr">
        <is>
          <t>Zendrop (Ships From: US filter)</t>
        </is>
      </c>
      <c r="E75" s="3" t="inlineStr">
        <is>
          <t>https://app.zendrop.com/ (search 'car trash can leak proof pink lid', Ships From: US)</t>
        </is>
      </c>
      <c r="F75" s="5" t="n">
        <v>6.6</v>
      </c>
      <c r="G75" s="5" t="n">
        <v>5.5</v>
      </c>
      <c r="H75" s="5" t="n">
        <v>5.5</v>
      </c>
      <c r="I75" s="3" t="inlineStr">
        <is>
          <t>3 to 11 days (1 to 3 business days processing + 2 to 8 days, support.zendrop.com via snippet)</t>
        </is>
      </c>
      <c r="J75" s="3" t="inlineStr">
        <is>
          <t>3 to 11 days (1 to 3 business days processing + 2 to 8 days, support.zendrop.com via snippet)</t>
        </is>
      </c>
      <c r="K75" s="5" t="n">
        <v>11</v>
      </c>
      <c r="L75" s="3" t="inlineStr">
        <is>
          <t>US</t>
        </is>
      </c>
      <c r="M75" s="3" t="n">
        <v>1</v>
      </c>
      <c r="N75" s="3" t="inlineStr">
        <is>
          <t>unbranded mailer (confirm)</t>
        </is>
      </c>
      <c r="O75" s="3" t="inlineStr">
        <is>
          <t>Zendrop: refund or replacement for damaged or lost orders; change-of-mind returns not covered. Confirm on support.zendrop.com.</t>
        </is>
      </c>
      <c r="P75" s="3" t="inlineStr">
        <is>
          <t>listing photos usable for the product page after checking the supplier licence; pins use our generated images</t>
        </is>
      </c>
      <c r="Q75" s="3" t="inlineStr">
        <is>
          <t>estimate; confirm on app.zendrop.com</t>
        </is>
      </c>
      <c r="R75" s="3" t="inlineStr">
        <is>
          <t>Needs a paid Zendrop plan ($29/month for 1 to 20 linked products). Cost estimate = CJ estimate + 10%. Search 'car trash can leak proof pink lid'.</t>
        </is>
      </c>
    </row>
    <row r="76">
      <c r="A76" s="3" t="inlineStr">
        <is>
          <t>E09</t>
        </is>
      </c>
      <c r="B76" s="3" t="inlineStr">
        <is>
          <t>Pink leak-proof car trash can with lid</t>
        </is>
      </c>
      <c r="C76" s="3" t="inlineStr">
        <is>
          <t>last-resort</t>
        </is>
      </c>
      <c r="D76" s="3" t="inlineStr">
        <is>
          <t>AliExpress Choice (non-US, last resort)</t>
        </is>
      </c>
      <c r="E76" s="3" t="inlineStr">
        <is>
          <t>https://www.aliexpress.us/w/wholesale-car-trash-can-leak-proof-pink-lid.html</t>
        </is>
      </c>
      <c r="F76" s="5" t="n">
        <v>3.6</v>
      </c>
      <c r="G76" s="5" t="n">
        <v>0</v>
      </c>
      <c r="H76" s="5" t="n">
        <v>0</v>
      </c>
      <c r="I76" s="3" t="inlineStr">
        <is>
          <t>7 to 15 days quoted on most Choice listings; exceeds the 10-day rule</t>
        </is>
      </c>
      <c r="J76" s="3" t="inlineStr">
        <is>
          <t>7 to 15 days quoted on most Choice listings; exceeds the 10-day rule</t>
        </is>
      </c>
      <c r="K76" s="5" t="n">
        <v>15</v>
      </c>
      <c r="L76" s="3" t="inlineStr">
        <is>
          <t>China</t>
        </is>
      </c>
      <c r="M76" s="3" t="n">
        <v>1</v>
      </c>
      <c r="N76" s="3" t="inlineStr">
        <is>
          <t>unbranded mailer (confirm)</t>
        </is>
      </c>
      <c r="O76" s="3" t="inlineStr">
        <is>
          <t>AliExpress Choice: free returns within 15 days on Choice items per AliExpress; the store still owes the customer a US return route. Confirm on aliexpress.com.</t>
        </is>
      </c>
      <c r="P76" s="3" t="inlineStr">
        <is>
          <t>listing photos usable for the product page after checking the supplier licence; pins use our generated images</t>
        </is>
      </c>
      <c r="Q76" s="3" t="inlineStr">
        <is>
          <t>estimate; confirm on aliexpress.com</t>
        </is>
      </c>
      <c r="R76" s="3" t="inlineStr">
        <is>
          <t>EXCLUDED for Q4 (15+ day quote). Evergreen only if the US options fail AND margin is 10 points better. Duties apply since de minimis ended 29 Aug 2025.</t>
        </is>
      </c>
    </row>
    <row r="77">
      <c r="A77" s="2" t="inlineStr">
        <is>
          <t>E10</t>
        </is>
      </c>
      <c r="B77" s="2" t="inlineStr">
        <is>
          <t>Bling rhinestone car cup coasters, pink, 2 pack</t>
        </is>
      </c>
      <c r="C77" s="2" t="inlineStr">
        <is>
          <t>winner</t>
        </is>
      </c>
      <c r="D77" s="2" t="inlineStr">
        <is>
          <t>CJ Dropshipping (US warehouse filter)</t>
        </is>
      </c>
      <c r="E77" s="2" t="inlineStr">
        <is>
          <t>https://cjdropshipping.com/search/bling+car+coasters+pink+rhinestone+2+pack.html</t>
        </is>
      </c>
      <c r="F77" s="4" t="n">
        <v>2.5</v>
      </c>
      <c r="G77" s="4" t="n">
        <v>4.5</v>
      </c>
      <c r="H77" s="4" t="n">
        <v>4.5</v>
      </c>
      <c r="I77" s="2" t="inlineStr">
        <is>
          <t>4 to 9 days (1 to 3 processing + 3 to 6 transit, cjdropshipping.com via snippet)</t>
        </is>
      </c>
      <c r="J77" s="2" t="inlineStr">
        <is>
          <t>4 to 9 days (1 to 3 processing + 3 to 6 transit, cjdropshipping.com via snippet)</t>
        </is>
      </c>
      <c r="K77" s="4" t="n">
        <v>9</v>
      </c>
      <c r="L77" s="2" t="inlineStr">
        <is>
          <t>US (NJ or CA)</t>
        </is>
      </c>
      <c r="M77" s="2" t="n">
        <v>1</v>
      </c>
      <c r="N77" s="2" t="inlineStr">
        <is>
          <t>unbranded mailer (confirm)</t>
        </is>
      </c>
      <c r="O77" s="2" t="inlineStr">
        <is>
          <t>CJ: refund or resend for damaged, wrong or lost items; change-of-mind returns at buyer cost. Confirm on cjdropshipping.com (return policy page).</t>
        </is>
      </c>
      <c r="P77" s="2" t="inlineStr">
        <is>
          <t>listing photos usable for the product page after checking the supplier licence; pins use our generated images</t>
        </is>
      </c>
      <c r="Q77" s="2" t="inlineStr">
        <is>
          <t>estimate: cost = 40% of the US retail seen (Zendrop guide ratio $8 to $12 product on $25 retail); confirm on cjdropshipping.com</t>
        </is>
      </c>
      <c r="R77" s="2" t="inlineStr">
        <is>
          <t>Search 'bling car coasters pink rhinestone 2 pack' with the US Warehouse filter on. Shipping: under 8 oz, estimate $4.50 (Zendrop $4 to $6 band).</t>
        </is>
      </c>
    </row>
    <row r="78">
      <c r="A78" s="3" t="inlineStr">
        <is>
          <t>E10</t>
        </is>
      </c>
      <c r="B78" s="3" t="inlineStr">
        <is>
          <t>Bling rhinestone car cup coasters, pink, 2 pack</t>
        </is>
      </c>
      <c r="C78" s="3" t="inlineStr">
        <is>
          <t>backup</t>
        </is>
      </c>
      <c r="D78" s="3" t="inlineStr">
        <is>
          <t>Zendrop (Ships From: US filter)</t>
        </is>
      </c>
      <c r="E78" s="3" t="inlineStr">
        <is>
          <t>https://app.zendrop.com/ (search 'bling car coasters pink rhinestone 2 pack', Ships From: US)</t>
        </is>
      </c>
      <c r="F78" s="5" t="n">
        <v>2.75</v>
      </c>
      <c r="G78" s="5" t="n">
        <v>4.5</v>
      </c>
      <c r="H78" s="5" t="n">
        <v>4.5</v>
      </c>
      <c r="I78" s="3" t="inlineStr">
        <is>
          <t>3 to 11 days (1 to 3 business days processing + 2 to 8 days, support.zendrop.com via snippet)</t>
        </is>
      </c>
      <c r="J78" s="3" t="inlineStr">
        <is>
          <t>3 to 11 days (1 to 3 business days processing + 2 to 8 days, support.zendrop.com via snippet)</t>
        </is>
      </c>
      <c r="K78" s="5" t="n">
        <v>11</v>
      </c>
      <c r="L78" s="3" t="inlineStr">
        <is>
          <t>US</t>
        </is>
      </c>
      <c r="M78" s="3" t="n">
        <v>1</v>
      </c>
      <c r="N78" s="3" t="inlineStr">
        <is>
          <t>unbranded mailer (confirm)</t>
        </is>
      </c>
      <c r="O78" s="3" t="inlineStr">
        <is>
          <t>Zendrop: refund or replacement for damaged or lost orders; change-of-mind returns not covered. Confirm on support.zendrop.com.</t>
        </is>
      </c>
      <c r="P78" s="3" t="inlineStr">
        <is>
          <t>listing photos usable for the product page after checking the supplier licence; pins use our generated images</t>
        </is>
      </c>
      <c r="Q78" s="3" t="inlineStr">
        <is>
          <t>estimate; confirm on app.zendrop.com</t>
        </is>
      </c>
      <c r="R78" s="3" t="inlineStr">
        <is>
          <t>Needs a paid Zendrop plan ($29/month for 1 to 20 linked products). Cost estimate = CJ estimate + 10%. Search 'bling car coasters pink rhinestone 2 pack'.</t>
        </is>
      </c>
    </row>
    <row r="79">
      <c r="A79" s="3" t="inlineStr">
        <is>
          <t>E10</t>
        </is>
      </c>
      <c r="B79" s="3" t="inlineStr">
        <is>
          <t>Bling rhinestone car cup coasters, pink, 2 pack</t>
        </is>
      </c>
      <c r="C79" s="3" t="inlineStr">
        <is>
          <t>last-resort</t>
        </is>
      </c>
      <c r="D79" s="3" t="inlineStr">
        <is>
          <t>AliExpress Choice (non-US, last resort)</t>
        </is>
      </c>
      <c r="E79" s="3" t="inlineStr">
        <is>
          <t>https://www.aliexpress.us/w/wholesale-bling-car-coasters-pink-rhinestone-2-pack.html</t>
        </is>
      </c>
      <c r="F79" s="5" t="n">
        <v>1.5</v>
      </c>
      <c r="G79" s="5" t="n">
        <v>0</v>
      </c>
      <c r="H79" s="5" t="n">
        <v>0</v>
      </c>
      <c r="I79" s="3" t="inlineStr">
        <is>
          <t>7 to 15 days quoted on most Choice listings; exceeds the 10-day rule</t>
        </is>
      </c>
      <c r="J79" s="3" t="inlineStr">
        <is>
          <t>7 to 15 days quoted on most Choice listings; exceeds the 10-day rule</t>
        </is>
      </c>
      <c r="K79" s="5" t="n">
        <v>15</v>
      </c>
      <c r="L79" s="3" t="inlineStr">
        <is>
          <t>China</t>
        </is>
      </c>
      <c r="M79" s="3" t="n">
        <v>1</v>
      </c>
      <c r="N79" s="3" t="inlineStr">
        <is>
          <t>unbranded mailer (confirm)</t>
        </is>
      </c>
      <c r="O79" s="3" t="inlineStr">
        <is>
          <t>AliExpress Choice: free returns within 15 days on Choice items per AliExpress; the store still owes the customer a US return route. Confirm on aliexpress.com.</t>
        </is>
      </c>
      <c r="P79" s="3" t="inlineStr">
        <is>
          <t>listing photos usable for the product page after checking the supplier licence; pins use our generated images</t>
        </is>
      </c>
      <c r="Q79" s="3" t="inlineStr">
        <is>
          <t>estimate; confirm on aliexpress.com</t>
        </is>
      </c>
      <c r="R79" s="3" t="inlineStr">
        <is>
          <t>EXCLUDED for Q4 (15+ day quote). Evergreen only if the US options fail AND margin is 10 points better. Duties apply since de minimis ended 29 Aug 2025.</t>
        </is>
      </c>
    </row>
    <row r="80">
      <c r="A80" s="2" t="inlineStr">
        <is>
          <t>E11</t>
        </is>
      </c>
      <c r="B80" s="2" t="inlineStr">
        <is>
          <t>Plush pink seat belt covers with bow, pair</t>
        </is>
      </c>
      <c r="C80" s="2" t="inlineStr">
        <is>
          <t>winner</t>
        </is>
      </c>
      <c r="D80" s="2" t="inlineStr">
        <is>
          <t>CJ Dropshipping (US warehouse filter)</t>
        </is>
      </c>
      <c r="E80" s="2" t="inlineStr">
        <is>
          <t>https://cjdropshipping.com/search/seat+belt+covers+plush+pink+bow.html</t>
        </is>
      </c>
      <c r="F80" s="4" t="n">
        <v>3.5</v>
      </c>
      <c r="G80" s="4" t="n">
        <v>4.5</v>
      </c>
      <c r="H80" s="4" t="n">
        <v>4.5</v>
      </c>
      <c r="I80" s="2" t="inlineStr">
        <is>
          <t>4 to 9 days (1 to 3 processing + 3 to 6 transit, cjdropshipping.com via snippet)</t>
        </is>
      </c>
      <c r="J80" s="2" t="inlineStr">
        <is>
          <t>4 to 9 days (1 to 3 processing + 3 to 6 transit, cjdropshipping.com via snippet)</t>
        </is>
      </c>
      <c r="K80" s="4" t="n">
        <v>9</v>
      </c>
      <c r="L80" s="2" t="inlineStr">
        <is>
          <t>US (NJ or CA)</t>
        </is>
      </c>
      <c r="M80" s="2" t="n">
        <v>1</v>
      </c>
      <c r="N80" s="2" t="inlineStr">
        <is>
          <t>unbranded mailer (confirm)</t>
        </is>
      </c>
      <c r="O80" s="2" t="inlineStr">
        <is>
          <t>CJ: refund or resend for damaged, wrong or lost items; change-of-mind returns at buyer cost. Confirm on cjdropshipping.com (return policy page).</t>
        </is>
      </c>
      <c r="P80" s="2" t="inlineStr">
        <is>
          <t>listing photos usable for the product page after checking the supplier licence; pins use our generated images</t>
        </is>
      </c>
      <c r="Q80" s="2" t="inlineStr">
        <is>
          <t>estimate: cost = 40% of the US retail seen (Zendrop guide ratio $8 to $12 product on $25 retail); confirm on cjdropshipping.com</t>
        </is>
      </c>
      <c r="R80" s="2" t="inlineStr">
        <is>
          <t>Search 'seat belt covers plush pink bow' with the US Warehouse filter on. Shipping: under 8 oz, estimate $4.50 (Zendrop $4 to $6 band).</t>
        </is>
      </c>
    </row>
    <row r="81">
      <c r="A81" s="3" t="inlineStr">
        <is>
          <t>E11</t>
        </is>
      </c>
      <c r="B81" s="3" t="inlineStr">
        <is>
          <t>Plush pink seat belt covers with bow, pair</t>
        </is>
      </c>
      <c r="C81" s="3" t="inlineStr">
        <is>
          <t>backup</t>
        </is>
      </c>
      <c r="D81" s="3" t="inlineStr">
        <is>
          <t>Zendrop (Ships From: US filter)</t>
        </is>
      </c>
      <c r="E81" s="3" t="inlineStr">
        <is>
          <t>https://app.zendrop.com/ (search 'seat belt covers plush pink bow', Ships From: US)</t>
        </is>
      </c>
      <c r="F81" s="5" t="n">
        <v>3.85</v>
      </c>
      <c r="G81" s="5" t="n">
        <v>4.5</v>
      </c>
      <c r="H81" s="5" t="n">
        <v>4.5</v>
      </c>
      <c r="I81" s="3" t="inlineStr">
        <is>
          <t>3 to 11 days (1 to 3 business days processing + 2 to 8 days, support.zendrop.com via snippet)</t>
        </is>
      </c>
      <c r="J81" s="3" t="inlineStr">
        <is>
          <t>3 to 11 days (1 to 3 business days processing + 2 to 8 days, support.zendrop.com via snippet)</t>
        </is>
      </c>
      <c r="K81" s="5" t="n">
        <v>11</v>
      </c>
      <c r="L81" s="3" t="inlineStr">
        <is>
          <t>US</t>
        </is>
      </c>
      <c r="M81" s="3" t="n">
        <v>1</v>
      </c>
      <c r="N81" s="3" t="inlineStr">
        <is>
          <t>unbranded mailer (confirm)</t>
        </is>
      </c>
      <c r="O81" s="3" t="inlineStr">
        <is>
          <t>Zendrop: refund or replacement for damaged or lost orders; change-of-mind returns not covered. Confirm on support.zendrop.com.</t>
        </is>
      </c>
      <c r="P81" s="3" t="inlineStr">
        <is>
          <t>listing photos usable for the product page after checking the supplier licence; pins use our generated images</t>
        </is>
      </c>
      <c r="Q81" s="3" t="inlineStr">
        <is>
          <t>estimate; confirm on app.zendrop.com</t>
        </is>
      </c>
      <c r="R81" s="3" t="inlineStr">
        <is>
          <t>Needs a paid Zendrop plan ($29/month for 1 to 20 linked products). Cost estimate = CJ estimate + 10%. Search 'seat belt covers plush pink bow'.</t>
        </is>
      </c>
    </row>
    <row r="82">
      <c r="A82" s="3" t="inlineStr">
        <is>
          <t>E11</t>
        </is>
      </c>
      <c r="B82" s="3" t="inlineStr">
        <is>
          <t>Plush pink seat belt covers with bow, pair</t>
        </is>
      </c>
      <c r="C82" s="3" t="inlineStr">
        <is>
          <t>last-resort</t>
        </is>
      </c>
      <c r="D82" s="3" t="inlineStr">
        <is>
          <t>AliExpress Choice (non-US, last resort)</t>
        </is>
      </c>
      <c r="E82" s="3" t="inlineStr">
        <is>
          <t>https://www.aliexpress.us/w/wholesale-seat-belt-covers-plush-pink-bow.html</t>
        </is>
      </c>
      <c r="F82" s="5" t="n">
        <v>2.1</v>
      </c>
      <c r="G82" s="5" t="n">
        <v>0</v>
      </c>
      <c r="H82" s="5" t="n">
        <v>0</v>
      </c>
      <c r="I82" s="3" t="inlineStr">
        <is>
          <t>7 to 15 days quoted on most Choice listings; exceeds the 10-day rule</t>
        </is>
      </c>
      <c r="J82" s="3" t="inlineStr">
        <is>
          <t>7 to 15 days quoted on most Choice listings; exceeds the 10-day rule</t>
        </is>
      </c>
      <c r="K82" s="5" t="n">
        <v>15</v>
      </c>
      <c r="L82" s="3" t="inlineStr">
        <is>
          <t>China</t>
        </is>
      </c>
      <c r="M82" s="3" t="n">
        <v>1</v>
      </c>
      <c r="N82" s="3" t="inlineStr">
        <is>
          <t>unbranded mailer (confirm)</t>
        </is>
      </c>
      <c r="O82" s="3" t="inlineStr">
        <is>
          <t>AliExpress Choice: free returns within 15 days on Choice items per AliExpress; the store still owes the customer a US return route. Confirm on aliexpress.com.</t>
        </is>
      </c>
      <c r="P82" s="3" t="inlineStr">
        <is>
          <t>listing photos usable for the product page after checking the supplier licence; pins use our generated images</t>
        </is>
      </c>
      <c r="Q82" s="3" t="inlineStr">
        <is>
          <t>estimate; confirm on aliexpress.com</t>
        </is>
      </c>
      <c r="R82" s="3" t="inlineStr">
        <is>
          <t>EXCLUDED for Q4 (15+ day quote). Evergreen only if the US options fail AND margin is 10 points better. Duties apply since de minimis ended 29 Aug 2025.</t>
        </is>
      </c>
    </row>
    <row r="83">
      <c r="A83" s="2" t="inlineStr">
        <is>
          <t>E12</t>
        </is>
      </c>
      <c r="B83" s="2" t="inlineStr">
        <is>
          <t>Pink magnetic suction car phone holder, no electronics</t>
        </is>
      </c>
      <c r="C83" s="2" t="inlineStr">
        <is>
          <t>winner</t>
        </is>
      </c>
      <c r="D83" s="2" t="inlineStr">
        <is>
          <t>CJ Dropshipping (US warehouse filter)</t>
        </is>
      </c>
      <c r="E83" s="2" t="inlineStr">
        <is>
          <t>https://cjdropshipping.com/search/magnetic+suction+phone+holder+car+pink.html</t>
        </is>
      </c>
      <c r="F83" s="4" t="n">
        <v>4.5</v>
      </c>
      <c r="G83" s="4" t="n">
        <v>4.5</v>
      </c>
      <c r="H83" s="4" t="n">
        <v>4.5</v>
      </c>
      <c r="I83" s="2" t="inlineStr">
        <is>
          <t>4 to 9 days (1 to 3 processing + 3 to 6 transit, cjdropshipping.com via snippet)</t>
        </is>
      </c>
      <c r="J83" s="2" t="inlineStr">
        <is>
          <t>4 to 9 days (1 to 3 processing + 3 to 6 transit, cjdropshipping.com via snippet)</t>
        </is>
      </c>
      <c r="K83" s="4" t="n">
        <v>9</v>
      </c>
      <c r="L83" s="2" t="inlineStr">
        <is>
          <t>US (NJ or CA)</t>
        </is>
      </c>
      <c r="M83" s="2" t="n">
        <v>1</v>
      </c>
      <c r="N83" s="2" t="inlineStr">
        <is>
          <t>unbranded mailer (confirm)</t>
        </is>
      </c>
      <c r="O83" s="2" t="inlineStr">
        <is>
          <t>CJ: refund or resend for damaged, wrong or lost items; change-of-mind returns at buyer cost. Confirm on cjdropshipping.com (return policy page).</t>
        </is>
      </c>
      <c r="P83" s="2" t="inlineStr">
        <is>
          <t>listing photos usable for the product page after checking the supplier licence; pins use our generated images</t>
        </is>
      </c>
      <c r="Q83" s="2" t="inlineStr">
        <is>
          <t>estimate: cost = 40% of the US retail seen (Zendrop guide ratio $8 to $12 product on $25 retail); confirm on cjdropshipping.com</t>
        </is>
      </c>
      <c r="R83" s="2" t="inlineStr">
        <is>
          <t>Search 'magnetic suction phone holder car pink' with the US Warehouse filter on. Shipping: under 8 oz, estimate $4.50 (Zendrop $4 to $6 band).</t>
        </is>
      </c>
    </row>
    <row r="84">
      <c r="A84" s="3" t="inlineStr">
        <is>
          <t>E12</t>
        </is>
      </c>
      <c r="B84" s="3" t="inlineStr">
        <is>
          <t>Pink magnetic suction car phone holder, no electronics</t>
        </is>
      </c>
      <c r="C84" s="3" t="inlineStr">
        <is>
          <t>backup</t>
        </is>
      </c>
      <c r="D84" s="3" t="inlineStr">
        <is>
          <t>Zendrop (Ships From: US filter)</t>
        </is>
      </c>
      <c r="E84" s="3" t="inlineStr">
        <is>
          <t>https://app.zendrop.com/ (search 'magnetic suction phone holder car pink', Ships From: US)</t>
        </is>
      </c>
      <c r="F84" s="5" t="n">
        <v>4.95</v>
      </c>
      <c r="G84" s="5" t="n">
        <v>4.5</v>
      </c>
      <c r="H84" s="5" t="n">
        <v>4.5</v>
      </c>
      <c r="I84" s="3" t="inlineStr">
        <is>
          <t>3 to 11 days (1 to 3 business days processing + 2 to 8 days, support.zendrop.com via snippet)</t>
        </is>
      </c>
      <c r="J84" s="3" t="inlineStr">
        <is>
          <t>3 to 11 days (1 to 3 business days processing + 2 to 8 days, support.zendrop.com via snippet)</t>
        </is>
      </c>
      <c r="K84" s="5" t="n">
        <v>11</v>
      </c>
      <c r="L84" s="3" t="inlineStr">
        <is>
          <t>US</t>
        </is>
      </c>
      <c r="M84" s="3" t="n">
        <v>1</v>
      </c>
      <c r="N84" s="3" t="inlineStr">
        <is>
          <t>unbranded mailer (confirm)</t>
        </is>
      </c>
      <c r="O84" s="3" t="inlineStr">
        <is>
          <t>Zendrop: refund or replacement for damaged or lost orders; change-of-mind returns not covered. Confirm on support.zendrop.com.</t>
        </is>
      </c>
      <c r="P84" s="3" t="inlineStr">
        <is>
          <t>listing photos usable for the product page after checking the supplier licence; pins use our generated images</t>
        </is>
      </c>
      <c r="Q84" s="3" t="inlineStr">
        <is>
          <t>estimate; confirm on app.zendrop.com</t>
        </is>
      </c>
      <c r="R84" s="3" t="inlineStr">
        <is>
          <t>Needs a paid Zendrop plan ($29/month for 1 to 20 linked products). Cost estimate = CJ estimate + 10%. Search 'magnetic suction phone holder car pink'.</t>
        </is>
      </c>
    </row>
    <row r="85">
      <c r="A85" s="3" t="inlineStr">
        <is>
          <t>E12</t>
        </is>
      </c>
      <c r="B85" s="3" t="inlineStr">
        <is>
          <t>Pink magnetic suction car phone holder, no electronics</t>
        </is>
      </c>
      <c r="C85" s="3" t="inlineStr">
        <is>
          <t>last-resort</t>
        </is>
      </c>
      <c r="D85" s="3" t="inlineStr">
        <is>
          <t>AliExpress Choice (non-US, last resort)</t>
        </is>
      </c>
      <c r="E85" s="3" t="inlineStr">
        <is>
          <t>https://www.aliexpress.us/w/wholesale-magnetic-suction-phone-holder-car-pink.html</t>
        </is>
      </c>
      <c r="F85" s="5" t="n">
        <v>2.7</v>
      </c>
      <c r="G85" s="5" t="n">
        <v>0</v>
      </c>
      <c r="H85" s="5" t="n">
        <v>0</v>
      </c>
      <c r="I85" s="3" t="inlineStr">
        <is>
          <t>7 to 15 days quoted on most Choice listings; exceeds the 10-day rule</t>
        </is>
      </c>
      <c r="J85" s="3" t="inlineStr">
        <is>
          <t>7 to 15 days quoted on most Choice listings; exceeds the 10-day rule</t>
        </is>
      </c>
      <c r="K85" s="5" t="n">
        <v>15</v>
      </c>
      <c r="L85" s="3" t="inlineStr">
        <is>
          <t>China</t>
        </is>
      </c>
      <c r="M85" s="3" t="n">
        <v>1</v>
      </c>
      <c r="N85" s="3" t="inlineStr">
        <is>
          <t>unbranded mailer (confirm)</t>
        </is>
      </c>
      <c r="O85" s="3" t="inlineStr">
        <is>
          <t>AliExpress Choice: free returns within 15 days on Choice items per AliExpress; the store still owes the customer a US return route. Confirm on aliexpress.com.</t>
        </is>
      </c>
      <c r="P85" s="3" t="inlineStr">
        <is>
          <t>listing photos usable for the product page after checking the supplier licence; pins use our generated images</t>
        </is>
      </c>
      <c r="Q85" s="3" t="inlineStr">
        <is>
          <t>estimate; confirm on aliexpress.com</t>
        </is>
      </c>
      <c r="R85" s="3" t="inlineStr">
        <is>
          <t>EXCLUDED for Q4 (15+ day quote). Evergreen only if the US options fail AND margin is 10 points better. Duties apply since de minimis ended 29 Aug 2025.</t>
        </is>
      </c>
    </row>
    <row r="86">
      <c r="A86" s="2" t="inlineStr">
        <is>
          <t>E13</t>
        </is>
      </c>
      <c r="B86" s="2" t="inlineStr">
        <is>
          <t>Pink large-capacity travel vanity bag</t>
        </is>
      </c>
      <c r="C86" s="2" t="inlineStr">
        <is>
          <t>winner</t>
        </is>
      </c>
      <c r="D86" s="2" t="inlineStr">
        <is>
          <t>CJ Dropshipping (US warehouse filter)</t>
        </is>
      </c>
      <c r="E86" s="2" t="inlineStr">
        <is>
          <t>https://cjdropshipping.com/product/travel-cosmetic-bag-large-capacity-multifunction-travel-cosmetic-bag-women-toiletries-organizer-female-storage-make-up-case-tool-p-1546430072087916544.html</t>
        </is>
      </c>
      <c r="F86" s="4" t="n">
        <v>8</v>
      </c>
      <c r="G86" s="4" t="n">
        <v>5.5</v>
      </c>
      <c r="H86" s="4" t="n">
        <v>5.5</v>
      </c>
      <c r="I86" s="2" t="inlineStr">
        <is>
          <t>4 to 9 days (1 to 3 processing + 3 to 6 transit, cjdropshipping.com via snippet)</t>
        </is>
      </c>
      <c r="J86" s="2" t="inlineStr">
        <is>
          <t>4 to 9 days (1 to 3 processing + 3 to 6 transit, cjdropshipping.com via snippet)</t>
        </is>
      </c>
      <c r="K86" s="4" t="n">
        <v>9</v>
      </c>
      <c r="L86" s="2" t="inlineStr">
        <is>
          <t>US (NJ or CA)</t>
        </is>
      </c>
      <c r="M86" s="2" t="n">
        <v>1</v>
      </c>
      <c r="N86" s="2" t="inlineStr">
        <is>
          <t>unbranded mailer (confirm)</t>
        </is>
      </c>
      <c r="O86" s="2" t="inlineStr">
        <is>
          <t>CJ: refund or resend for damaged, wrong or lost items; change-of-mind returns at buyer cost. Confirm on cjdropshipping.com (return policy page).</t>
        </is>
      </c>
      <c r="P86" s="2" t="inlineStr">
        <is>
          <t>listing photos usable for the product page after checking the supplier licence; pins use our generated images</t>
        </is>
      </c>
      <c r="Q86" s="2" t="inlineStr">
        <is>
          <t>listing found via search; price not visible in snippet, cost is an estimate; confirm on cjdropshipping.com</t>
        </is>
      </c>
      <c r="R86" s="2" t="inlineStr">
        <is>
          <t>Search 'travel cosmetic bag large capacity pink' with the US Warehouse filter on. Shipping: 8 oz to 1 lb, estimate $5.50 (CJ 'about $5' example).</t>
        </is>
      </c>
    </row>
    <row r="87">
      <c r="A87" s="3" t="inlineStr">
        <is>
          <t>E13</t>
        </is>
      </c>
      <c r="B87" s="3" t="inlineStr">
        <is>
          <t>Pink large-capacity travel vanity bag</t>
        </is>
      </c>
      <c r="C87" s="3" t="inlineStr">
        <is>
          <t>backup</t>
        </is>
      </c>
      <c r="D87" s="3" t="inlineStr">
        <is>
          <t>Zendrop (Ships From: US filter)</t>
        </is>
      </c>
      <c r="E87" s="3" t="inlineStr">
        <is>
          <t>https://app.zendrop.com/ (search 'travel cosmetic bag large capacity pink', Ships From: US)</t>
        </is>
      </c>
      <c r="F87" s="5" t="n">
        <v>8.800000000000001</v>
      </c>
      <c r="G87" s="5" t="n">
        <v>5.5</v>
      </c>
      <c r="H87" s="5" t="n">
        <v>5.5</v>
      </c>
      <c r="I87" s="3" t="inlineStr">
        <is>
          <t>3 to 11 days (1 to 3 business days processing + 2 to 8 days, support.zendrop.com via snippet)</t>
        </is>
      </c>
      <c r="J87" s="3" t="inlineStr">
        <is>
          <t>3 to 11 days (1 to 3 business days processing + 2 to 8 days, support.zendrop.com via snippet)</t>
        </is>
      </c>
      <c r="K87" s="5" t="n">
        <v>11</v>
      </c>
      <c r="L87" s="3" t="inlineStr">
        <is>
          <t>US</t>
        </is>
      </c>
      <c r="M87" s="3" t="n">
        <v>1</v>
      </c>
      <c r="N87" s="3" t="inlineStr">
        <is>
          <t>unbranded mailer (confirm)</t>
        </is>
      </c>
      <c r="O87" s="3" t="inlineStr">
        <is>
          <t>Zendrop: refund or replacement for damaged or lost orders; change-of-mind returns not covered. Confirm on support.zendrop.com.</t>
        </is>
      </c>
      <c r="P87" s="3" t="inlineStr">
        <is>
          <t>listing photos usable for the product page after checking the supplier licence; pins use our generated images</t>
        </is>
      </c>
      <c r="Q87" s="3" t="inlineStr">
        <is>
          <t>estimate; confirm on app.zendrop.com</t>
        </is>
      </c>
      <c r="R87" s="3" t="inlineStr">
        <is>
          <t>Needs a paid Zendrop plan ($29/month for 1 to 20 linked products). Cost estimate = CJ estimate + 10%. Search 'travel cosmetic bag large capacity pink'.</t>
        </is>
      </c>
    </row>
    <row r="88">
      <c r="A88" s="3" t="inlineStr">
        <is>
          <t>E13</t>
        </is>
      </c>
      <c r="B88" s="3" t="inlineStr">
        <is>
          <t>Pink large-capacity travel vanity bag</t>
        </is>
      </c>
      <c r="C88" s="3" t="inlineStr">
        <is>
          <t>last-resort</t>
        </is>
      </c>
      <c r="D88" s="3" t="inlineStr">
        <is>
          <t>AliExpress Choice (non-US, last resort)</t>
        </is>
      </c>
      <c r="E88" s="3" t="inlineStr">
        <is>
          <t>https://www.aliexpress.us/w/wholesale-travel-cosmetic-bag-large-capacity-pink.html</t>
        </is>
      </c>
      <c r="F88" s="5" t="n">
        <v>4.8</v>
      </c>
      <c r="G88" s="5" t="n">
        <v>0</v>
      </c>
      <c r="H88" s="5" t="n">
        <v>0</v>
      </c>
      <c r="I88" s="3" t="inlineStr">
        <is>
          <t>7 to 15 days quoted on most Choice listings; exceeds the 10-day rule</t>
        </is>
      </c>
      <c r="J88" s="3" t="inlineStr">
        <is>
          <t>7 to 15 days quoted on most Choice listings; exceeds the 10-day rule</t>
        </is>
      </c>
      <c r="K88" s="5" t="n">
        <v>15</v>
      </c>
      <c r="L88" s="3" t="inlineStr">
        <is>
          <t>China</t>
        </is>
      </c>
      <c r="M88" s="3" t="n">
        <v>1</v>
      </c>
      <c r="N88" s="3" t="inlineStr">
        <is>
          <t>unbranded mailer (confirm)</t>
        </is>
      </c>
      <c r="O88" s="3" t="inlineStr">
        <is>
          <t>AliExpress Choice: free returns within 15 days on Choice items per AliExpress; the store still owes the customer a US return route. Confirm on aliexpress.com.</t>
        </is>
      </c>
      <c r="P88" s="3" t="inlineStr">
        <is>
          <t>listing photos usable for the product page after checking the supplier licence; pins use our generated images</t>
        </is>
      </c>
      <c r="Q88" s="3" t="inlineStr">
        <is>
          <t>estimate; confirm on aliexpress.com</t>
        </is>
      </c>
      <c r="R88" s="3" t="inlineStr">
        <is>
          <t>EXCLUDED for Q4 (15+ day quote). Evergreen only if the US options fail AND margin is 10 points better. Duties apply since de minimis ended 29 Aug 2025.</t>
        </is>
      </c>
    </row>
    <row r="89">
      <c r="A89" s="2" t="inlineStr">
        <is>
          <t>E14</t>
        </is>
      </c>
      <c r="B89" s="2" t="inlineStr">
        <is>
          <t>Pink glitter makeup brush holder cup</t>
        </is>
      </c>
      <c r="C89" s="2" t="inlineStr">
        <is>
          <t>winner</t>
        </is>
      </c>
      <c r="D89" s="2" t="inlineStr">
        <is>
          <t>CJ Dropshipping (US warehouse filter)</t>
        </is>
      </c>
      <c r="E89" s="2" t="inlineStr">
        <is>
          <t>https://cjdropshipping.com/search/makeup+brush+holder+glitter+pink+acrylic.html</t>
        </is>
      </c>
      <c r="F89" s="4" t="n">
        <v>5</v>
      </c>
      <c r="G89" s="4" t="n">
        <v>4.5</v>
      </c>
      <c r="H89" s="4" t="n">
        <v>4.5</v>
      </c>
      <c r="I89" s="2" t="inlineStr">
        <is>
          <t>4 to 9 days (1 to 3 processing + 3 to 6 transit, cjdropshipping.com via snippet)</t>
        </is>
      </c>
      <c r="J89" s="2" t="inlineStr">
        <is>
          <t>4 to 9 days (1 to 3 processing + 3 to 6 transit, cjdropshipping.com via snippet)</t>
        </is>
      </c>
      <c r="K89" s="4" t="n">
        <v>9</v>
      </c>
      <c r="L89" s="2" t="inlineStr">
        <is>
          <t>US (NJ or CA)</t>
        </is>
      </c>
      <c r="M89" s="2" t="n">
        <v>1</v>
      </c>
      <c r="N89" s="2" t="inlineStr">
        <is>
          <t>unbranded mailer (confirm)</t>
        </is>
      </c>
      <c r="O89" s="2" t="inlineStr">
        <is>
          <t>CJ: refund or resend for damaged, wrong or lost items; change-of-mind returns at buyer cost. Confirm on cjdropshipping.com (return policy page).</t>
        </is>
      </c>
      <c r="P89" s="2" t="inlineStr">
        <is>
          <t>listing photos usable for the product page after checking the supplier licence; pins use our generated images</t>
        </is>
      </c>
      <c r="Q89" s="2" t="inlineStr">
        <is>
          <t>estimate: cost = 40% of the US retail seen (Zendrop guide ratio $8 to $12 product on $25 retail); confirm on cjdropshipping.com</t>
        </is>
      </c>
      <c r="R89" s="2" t="inlineStr">
        <is>
          <t>Search 'makeup brush holder glitter pink acrylic' with the US Warehouse filter on. Shipping: under 8 oz, estimate $4.50 (Zendrop $4 to $6 band).</t>
        </is>
      </c>
    </row>
    <row r="90">
      <c r="A90" s="3" t="inlineStr">
        <is>
          <t>E14</t>
        </is>
      </c>
      <c r="B90" s="3" t="inlineStr">
        <is>
          <t>Pink glitter makeup brush holder cup</t>
        </is>
      </c>
      <c r="C90" s="3" t="inlineStr">
        <is>
          <t>backup</t>
        </is>
      </c>
      <c r="D90" s="3" t="inlineStr">
        <is>
          <t>Zendrop (Ships From: US filter)</t>
        </is>
      </c>
      <c r="E90" s="3" t="inlineStr">
        <is>
          <t>https://app.zendrop.com/ (search 'makeup brush holder glitter pink acrylic', Ships From: US)</t>
        </is>
      </c>
      <c r="F90" s="5" t="n">
        <v>5.5</v>
      </c>
      <c r="G90" s="5" t="n">
        <v>4.5</v>
      </c>
      <c r="H90" s="5" t="n">
        <v>4.5</v>
      </c>
      <c r="I90" s="3" t="inlineStr">
        <is>
          <t>3 to 11 days (1 to 3 business days processing + 2 to 8 days, support.zendrop.com via snippet)</t>
        </is>
      </c>
      <c r="J90" s="3" t="inlineStr">
        <is>
          <t>3 to 11 days (1 to 3 business days processing + 2 to 8 days, support.zendrop.com via snippet)</t>
        </is>
      </c>
      <c r="K90" s="5" t="n">
        <v>11</v>
      </c>
      <c r="L90" s="3" t="inlineStr">
        <is>
          <t>US</t>
        </is>
      </c>
      <c r="M90" s="3" t="n">
        <v>1</v>
      </c>
      <c r="N90" s="3" t="inlineStr">
        <is>
          <t>unbranded mailer (confirm)</t>
        </is>
      </c>
      <c r="O90" s="3" t="inlineStr">
        <is>
          <t>Zendrop: refund or replacement for damaged or lost orders; change-of-mind returns not covered. Confirm on support.zendrop.com.</t>
        </is>
      </c>
      <c r="P90" s="3" t="inlineStr">
        <is>
          <t>listing photos usable for the product page after checking the supplier licence; pins use our generated images</t>
        </is>
      </c>
      <c r="Q90" s="3" t="inlineStr">
        <is>
          <t>estimate; confirm on app.zendrop.com</t>
        </is>
      </c>
      <c r="R90" s="3" t="inlineStr">
        <is>
          <t>Needs a paid Zendrop plan ($29/month for 1 to 20 linked products). Cost estimate = CJ estimate + 10%. Search 'makeup brush holder glitter pink acrylic'.</t>
        </is>
      </c>
    </row>
    <row r="91">
      <c r="A91" s="3" t="inlineStr">
        <is>
          <t>E14</t>
        </is>
      </c>
      <c r="B91" s="3" t="inlineStr">
        <is>
          <t>Pink glitter makeup brush holder cup</t>
        </is>
      </c>
      <c r="C91" s="3" t="inlineStr">
        <is>
          <t>last-resort</t>
        </is>
      </c>
      <c r="D91" s="3" t="inlineStr">
        <is>
          <t>AliExpress Choice (non-US, last resort)</t>
        </is>
      </c>
      <c r="E91" s="3" t="inlineStr">
        <is>
          <t>https://www.aliexpress.com/item/32954351202.html</t>
        </is>
      </c>
      <c r="F91" s="5" t="n">
        <v>11.5</v>
      </c>
      <c r="G91" s="5" t="n">
        <v>0</v>
      </c>
      <c r="H91" s="5" t="n">
        <v>0</v>
      </c>
      <c r="I91" s="3" t="inlineStr">
        <is>
          <t>7 to 15 days quoted on most Choice listings; exceeds the 10-day rule</t>
        </is>
      </c>
      <c r="J91" s="3" t="inlineStr">
        <is>
          <t>7 to 15 days quoted on most Choice listings; exceeds the 10-day rule</t>
        </is>
      </c>
      <c r="K91" s="5" t="n">
        <v>15</v>
      </c>
      <c r="L91" s="3" t="inlineStr">
        <is>
          <t>China</t>
        </is>
      </c>
      <c r="M91" s="3" t="n">
        <v>1</v>
      </c>
      <c r="N91" s="3" t="inlineStr">
        <is>
          <t>unbranded mailer (confirm)</t>
        </is>
      </c>
      <c r="O91" s="3" t="inlineStr">
        <is>
          <t>AliExpress Choice: free returns within 15 days on Choice items per AliExpress; the store still owes the customer a US return route. Confirm on aliexpress.com.</t>
        </is>
      </c>
      <c r="P91" s="3" t="inlineStr">
        <is>
          <t>listing photos usable for the product page after checking the supplier licence; pins use our generated images</t>
        </is>
      </c>
      <c r="Q91" s="3" t="inlineStr">
        <is>
          <t>price seen in snippet</t>
        </is>
      </c>
      <c r="R91" s="3" t="inlineStr">
        <is>
          <t>EXCLUDED for Q4 (15+ day quote). Evergreen only if the US options fail AND margin is 10 points better. Duties apply since de minimis ended 29 Aug 2025.</t>
        </is>
      </c>
    </row>
    <row r="92">
      <c r="A92" s="2" t="inlineStr">
        <is>
          <t>E15</t>
        </is>
      </c>
      <c r="B92" s="2" t="inlineStr">
        <is>
          <t>Clear acrylic 2-tier perfume and vanity tray</t>
        </is>
      </c>
      <c r="C92" s="2" t="inlineStr">
        <is>
          <t>winner</t>
        </is>
      </c>
      <c r="D92" s="2" t="inlineStr">
        <is>
          <t>CJ Dropshipping (US warehouse filter)</t>
        </is>
      </c>
      <c r="E92" s="2" t="inlineStr">
        <is>
          <t>https://cjdropshipping.com/search/acrylic+perfume+tray+2+tier+organizer.html</t>
        </is>
      </c>
      <c r="F92" s="4" t="n">
        <v>7</v>
      </c>
      <c r="G92" s="4" t="n">
        <v>5.5</v>
      </c>
      <c r="H92" s="4" t="n">
        <v>5.5</v>
      </c>
      <c r="I92" s="2" t="inlineStr">
        <is>
          <t>4 to 9 days (1 to 3 processing + 3 to 6 transit, cjdropshipping.com via snippet)</t>
        </is>
      </c>
      <c r="J92" s="2" t="inlineStr">
        <is>
          <t>4 to 9 days (1 to 3 processing + 3 to 6 transit, cjdropshipping.com via snippet)</t>
        </is>
      </c>
      <c r="K92" s="4" t="n">
        <v>9</v>
      </c>
      <c r="L92" s="2" t="inlineStr">
        <is>
          <t>US (NJ or CA)</t>
        </is>
      </c>
      <c r="M92" s="2" t="n">
        <v>1</v>
      </c>
      <c r="N92" s="2" t="inlineStr">
        <is>
          <t>unbranded mailer (confirm)</t>
        </is>
      </c>
      <c r="O92" s="2" t="inlineStr">
        <is>
          <t>CJ: refund or resend for damaged, wrong or lost items; change-of-mind returns at buyer cost. Confirm on cjdropshipping.com (return policy page).</t>
        </is>
      </c>
      <c r="P92" s="2" t="inlineStr">
        <is>
          <t>listing photos usable for the product page after checking the supplier licence; pins use our generated images</t>
        </is>
      </c>
      <c r="Q92" s="2" t="inlineStr">
        <is>
          <t>estimate: cost = 40% of the US retail seen (Zendrop guide ratio $8 to $12 product on $25 retail); confirm on cjdropshipping.com</t>
        </is>
      </c>
      <c r="R92" s="2" t="inlineStr">
        <is>
          <t>Search 'acrylic perfume tray 2 tier organizer' with the US Warehouse filter on. Shipping: 8 oz to 1 lb, estimate $5.50 (CJ 'about $5' example).</t>
        </is>
      </c>
    </row>
    <row r="93">
      <c r="A93" s="3" t="inlineStr">
        <is>
          <t>E15</t>
        </is>
      </c>
      <c r="B93" s="3" t="inlineStr">
        <is>
          <t>Clear acrylic 2-tier perfume and vanity tray</t>
        </is>
      </c>
      <c r="C93" s="3" t="inlineStr">
        <is>
          <t>backup</t>
        </is>
      </c>
      <c r="D93" s="3" t="inlineStr">
        <is>
          <t>Zendrop (Ships From: US filter)</t>
        </is>
      </c>
      <c r="E93" s="3" t="inlineStr">
        <is>
          <t>https://app.zendrop.com/ (search 'acrylic perfume tray 2 tier organizer', Ships From: US)</t>
        </is>
      </c>
      <c r="F93" s="5" t="n">
        <v>7.7</v>
      </c>
      <c r="G93" s="5" t="n">
        <v>5.5</v>
      </c>
      <c r="H93" s="5" t="n">
        <v>5.5</v>
      </c>
      <c r="I93" s="3" t="inlineStr">
        <is>
          <t>3 to 11 days (1 to 3 business days processing + 2 to 8 days, support.zendrop.com via snippet)</t>
        </is>
      </c>
      <c r="J93" s="3" t="inlineStr">
        <is>
          <t>3 to 11 days (1 to 3 business days processing + 2 to 8 days, support.zendrop.com via snippet)</t>
        </is>
      </c>
      <c r="K93" s="5" t="n">
        <v>11</v>
      </c>
      <c r="L93" s="3" t="inlineStr">
        <is>
          <t>US</t>
        </is>
      </c>
      <c r="M93" s="3" t="n">
        <v>1</v>
      </c>
      <c r="N93" s="3" t="inlineStr">
        <is>
          <t>unbranded mailer (confirm)</t>
        </is>
      </c>
      <c r="O93" s="3" t="inlineStr">
        <is>
          <t>Zendrop: refund or replacement for damaged or lost orders; change-of-mind returns not covered. Confirm on support.zendrop.com.</t>
        </is>
      </c>
      <c r="P93" s="3" t="inlineStr">
        <is>
          <t>listing photos usable for the product page after checking the supplier licence; pins use our generated images</t>
        </is>
      </c>
      <c r="Q93" s="3" t="inlineStr">
        <is>
          <t>estimate; confirm on app.zendrop.com</t>
        </is>
      </c>
      <c r="R93" s="3" t="inlineStr">
        <is>
          <t>Needs a paid Zendrop plan ($29/month for 1 to 20 linked products). Cost estimate = CJ estimate + 10%. Search 'acrylic perfume tray 2 tier organizer'.</t>
        </is>
      </c>
    </row>
    <row r="94">
      <c r="A94" s="3" t="inlineStr">
        <is>
          <t>E15</t>
        </is>
      </c>
      <c r="B94" s="3" t="inlineStr">
        <is>
          <t>Clear acrylic 2-tier perfume and vanity tray</t>
        </is>
      </c>
      <c r="C94" s="3" t="inlineStr">
        <is>
          <t>last-resort</t>
        </is>
      </c>
      <c r="D94" s="3" t="inlineStr">
        <is>
          <t>AliExpress Choice (non-US, last resort)</t>
        </is>
      </c>
      <c r="E94" s="3" t="inlineStr">
        <is>
          <t>https://www.aliexpress.us/w/wholesale-acrylic-perfume-tray-2-tier-organizer.html</t>
        </is>
      </c>
      <c r="F94" s="5" t="n">
        <v>4.2</v>
      </c>
      <c r="G94" s="5" t="n">
        <v>0</v>
      </c>
      <c r="H94" s="5" t="n">
        <v>0</v>
      </c>
      <c r="I94" s="3" t="inlineStr">
        <is>
          <t>7 to 15 days quoted on most Choice listings; exceeds the 10-day rule</t>
        </is>
      </c>
      <c r="J94" s="3" t="inlineStr">
        <is>
          <t>7 to 15 days quoted on most Choice listings; exceeds the 10-day rule</t>
        </is>
      </c>
      <c r="K94" s="5" t="n">
        <v>15</v>
      </c>
      <c r="L94" s="3" t="inlineStr">
        <is>
          <t>China</t>
        </is>
      </c>
      <c r="M94" s="3" t="n">
        <v>1</v>
      </c>
      <c r="N94" s="3" t="inlineStr">
        <is>
          <t>unbranded mailer (confirm)</t>
        </is>
      </c>
      <c r="O94" s="3" t="inlineStr">
        <is>
          <t>AliExpress Choice: free returns within 15 days on Choice items per AliExpress; the store still owes the customer a US return route. Confirm on aliexpress.com.</t>
        </is>
      </c>
      <c r="P94" s="3" t="inlineStr">
        <is>
          <t>listing photos usable for the product page after checking the supplier licence; pins use our generated images</t>
        </is>
      </c>
      <c r="Q94" s="3" t="inlineStr">
        <is>
          <t>estimate; confirm on aliexpress.com</t>
        </is>
      </c>
      <c r="R94" s="3" t="inlineStr">
        <is>
          <t>EXCLUDED for Q4 (15+ day quote). Evergreen only if the US options fail AND margin is 10 points better. Duties apply since de minimis ended 29 Aug 2025.</t>
        </is>
      </c>
    </row>
    <row r="95">
      <c r="A95" s="2" t="inlineStr">
        <is>
          <t>E16</t>
        </is>
      </c>
      <c r="B95" s="2" t="inlineStr">
        <is>
          <t>Hot pink multi-compartment desk and vanity organiser</t>
        </is>
      </c>
      <c r="C95" s="2" t="inlineStr">
        <is>
          <t>winner</t>
        </is>
      </c>
      <c r="D95" s="2" t="inlineStr">
        <is>
          <t>CJ Dropshipping (US warehouse filter)</t>
        </is>
      </c>
      <c r="E95" s="2" t="inlineStr">
        <is>
          <t>https://cjdropshipping.com/search/desk+organizer+multi+compartment+hot+pink.html</t>
        </is>
      </c>
      <c r="F95" s="4" t="n">
        <v>4.4</v>
      </c>
      <c r="G95" s="4" t="n">
        <v>5.5</v>
      </c>
      <c r="H95" s="4" t="n">
        <v>5.5</v>
      </c>
      <c r="I95" s="2" t="inlineStr">
        <is>
          <t>4 to 9 days (1 to 3 processing + 3 to 6 transit, cjdropshipping.com via snippet)</t>
        </is>
      </c>
      <c r="J95" s="2" t="inlineStr">
        <is>
          <t>4 to 9 days (1 to 3 processing + 3 to 6 transit, cjdropshipping.com via snippet)</t>
        </is>
      </c>
      <c r="K95" s="4" t="n">
        <v>9</v>
      </c>
      <c r="L95" s="2" t="inlineStr">
        <is>
          <t>US (NJ or CA)</t>
        </is>
      </c>
      <c r="M95" s="2" t="n">
        <v>1</v>
      </c>
      <c r="N95" s="2" t="inlineStr">
        <is>
          <t>unbranded mailer (confirm)</t>
        </is>
      </c>
      <c r="O95" s="2" t="inlineStr">
        <is>
          <t>CJ: refund or resend for damaged, wrong or lost items; change-of-mind returns at buyer cost. Confirm on cjdropshipping.com (return policy page).</t>
        </is>
      </c>
      <c r="P95" s="2" t="inlineStr">
        <is>
          <t>listing photos usable for the product page after checking the supplier licence; pins use our generated images</t>
        </is>
      </c>
      <c r="Q95" s="2" t="inlineStr">
        <is>
          <t>estimate: cost = 40% of the US retail seen (Zendrop guide ratio $8 to $12 product on $25 retail); confirm on cjdropshipping.com</t>
        </is>
      </c>
      <c r="R95" s="2" t="inlineStr">
        <is>
          <t>Search 'desk organizer multi compartment hot pink' with the US Warehouse filter on. Shipping: 8 oz to 1 lb, estimate $5.50 (CJ 'about $5' example).</t>
        </is>
      </c>
    </row>
    <row r="96">
      <c r="A96" s="3" t="inlineStr">
        <is>
          <t>E16</t>
        </is>
      </c>
      <c r="B96" s="3" t="inlineStr">
        <is>
          <t>Hot pink multi-compartment desk and vanity organiser</t>
        </is>
      </c>
      <c r="C96" s="3" t="inlineStr">
        <is>
          <t>backup</t>
        </is>
      </c>
      <c r="D96" s="3" t="inlineStr">
        <is>
          <t>Zendrop (Ships From: US filter)</t>
        </is>
      </c>
      <c r="E96" s="3" t="inlineStr">
        <is>
          <t>https://app.zendrop.com/ (search 'desk organizer multi compartment hot pink', Ships From: US)</t>
        </is>
      </c>
      <c r="F96" s="5" t="n">
        <v>4.84</v>
      </c>
      <c r="G96" s="5" t="n">
        <v>5.5</v>
      </c>
      <c r="H96" s="5" t="n">
        <v>5.5</v>
      </c>
      <c r="I96" s="3" t="inlineStr">
        <is>
          <t>3 to 11 days (1 to 3 business days processing + 2 to 8 days, support.zendrop.com via snippet)</t>
        </is>
      </c>
      <c r="J96" s="3" t="inlineStr">
        <is>
          <t>3 to 11 days (1 to 3 business days processing + 2 to 8 days, support.zendrop.com via snippet)</t>
        </is>
      </c>
      <c r="K96" s="5" t="n">
        <v>11</v>
      </c>
      <c r="L96" s="3" t="inlineStr">
        <is>
          <t>US</t>
        </is>
      </c>
      <c r="M96" s="3" t="n">
        <v>1</v>
      </c>
      <c r="N96" s="3" t="inlineStr">
        <is>
          <t>unbranded mailer (confirm)</t>
        </is>
      </c>
      <c r="O96" s="3" t="inlineStr">
        <is>
          <t>Zendrop: refund or replacement for damaged or lost orders; change-of-mind returns not covered. Confirm on support.zendrop.com.</t>
        </is>
      </c>
      <c r="P96" s="3" t="inlineStr">
        <is>
          <t>listing photos usable for the product page after checking the supplier licence; pins use our generated images</t>
        </is>
      </c>
      <c r="Q96" s="3" t="inlineStr">
        <is>
          <t>estimate; confirm on app.zendrop.com</t>
        </is>
      </c>
      <c r="R96" s="3" t="inlineStr">
        <is>
          <t>Needs a paid Zendrop plan ($29/month for 1 to 20 linked products). Cost estimate = CJ estimate + 10%. Search 'desk organizer multi compartment hot pink'.</t>
        </is>
      </c>
    </row>
    <row r="97">
      <c r="A97" s="3" t="inlineStr">
        <is>
          <t>E16</t>
        </is>
      </c>
      <c r="B97" s="3" t="inlineStr">
        <is>
          <t>Hot pink multi-compartment desk and vanity organiser</t>
        </is>
      </c>
      <c r="C97" s="3" t="inlineStr">
        <is>
          <t>last-resort</t>
        </is>
      </c>
      <c r="D97" s="3" t="inlineStr">
        <is>
          <t>AliExpress Choice (non-US, last resort)</t>
        </is>
      </c>
      <c r="E97" s="3" t="inlineStr">
        <is>
          <t>https://www.aliexpress.us/w/wholesale-desk-organizer-multi-compartment-hot-pink.html</t>
        </is>
      </c>
      <c r="F97" s="5" t="n">
        <v>2.64</v>
      </c>
      <c r="G97" s="5" t="n">
        <v>0</v>
      </c>
      <c r="H97" s="5" t="n">
        <v>0</v>
      </c>
      <c r="I97" s="3" t="inlineStr">
        <is>
          <t>7 to 15 days quoted on most Choice listings; exceeds the 10-day rule</t>
        </is>
      </c>
      <c r="J97" s="3" t="inlineStr">
        <is>
          <t>7 to 15 days quoted on most Choice listings; exceeds the 10-day rule</t>
        </is>
      </c>
      <c r="K97" s="5" t="n">
        <v>15</v>
      </c>
      <c r="L97" s="3" t="inlineStr">
        <is>
          <t>China</t>
        </is>
      </c>
      <c r="M97" s="3" t="n">
        <v>1</v>
      </c>
      <c r="N97" s="3" t="inlineStr">
        <is>
          <t>unbranded mailer (confirm)</t>
        </is>
      </c>
      <c r="O97" s="3" t="inlineStr">
        <is>
          <t>AliExpress Choice: free returns within 15 days on Choice items per AliExpress; the store still owes the customer a US return route. Confirm on aliexpress.com.</t>
        </is>
      </c>
      <c r="P97" s="3" t="inlineStr">
        <is>
          <t>listing photos usable for the product page after checking the supplier licence; pins use our generated images</t>
        </is>
      </c>
      <c r="Q97" s="3" t="inlineStr">
        <is>
          <t>estimate; confirm on aliexpress.com</t>
        </is>
      </c>
      <c r="R97" s="3" t="inlineStr">
        <is>
          <t>EXCLUDED for Q4 (15+ day quote). Evergreen only if the US options fail AND margin is 10 points better. Duties apply since de minimis ended 29 Aug 2025.</t>
        </is>
      </c>
    </row>
    <row r="98">
      <c r="A98" s="2" t="inlineStr">
        <is>
          <t>E17</t>
        </is>
      </c>
      <c r="B98" s="2" t="inlineStr">
        <is>
          <t>Pink bow spa headband and wristband set</t>
        </is>
      </c>
      <c r="C98" s="2" t="inlineStr">
        <is>
          <t>winner</t>
        </is>
      </c>
      <c r="D98" s="2" t="inlineStr">
        <is>
          <t>CJ Dropshipping (US warehouse filter)</t>
        </is>
      </c>
      <c r="E98" s="2" t="inlineStr">
        <is>
          <t>https://cjdropshipping.com/search/spa+headband+wristband+set+bow+pink.html</t>
        </is>
      </c>
      <c r="F98" s="4" t="n">
        <v>1.5</v>
      </c>
      <c r="G98" s="4" t="n">
        <v>4.5</v>
      </c>
      <c r="H98" s="4" t="n">
        <v>4.5</v>
      </c>
      <c r="I98" s="2" t="inlineStr">
        <is>
          <t>4 to 9 days (1 to 3 processing + 3 to 6 transit, cjdropshipping.com via snippet)</t>
        </is>
      </c>
      <c r="J98" s="2" t="inlineStr">
        <is>
          <t>4 to 9 days (1 to 3 processing + 3 to 6 transit, cjdropshipping.com via snippet)</t>
        </is>
      </c>
      <c r="K98" s="4" t="n">
        <v>9</v>
      </c>
      <c r="L98" s="2" t="inlineStr">
        <is>
          <t>US (NJ or CA)</t>
        </is>
      </c>
      <c r="M98" s="2" t="n">
        <v>1</v>
      </c>
      <c r="N98" s="2" t="inlineStr">
        <is>
          <t>unbranded mailer (confirm)</t>
        </is>
      </c>
      <c r="O98" s="2" t="inlineStr">
        <is>
          <t>CJ: refund or resend for damaged, wrong or lost items; change-of-mind returns at buyer cost. Confirm on cjdropshipping.com (return policy page).</t>
        </is>
      </c>
      <c r="P98" s="2" t="inlineStr">
        <is>
          <t>listing photos usable for the product page after checking the supplier licence; pins use our generated images</t>
        </is>
      </c>
      <c r="Q98" s="2" t="inlineStr">
        <is>
          <t>estimate: cost = 40% of the US retail seen (Zendrop guide ratio $8 to $12 product on $25 retail); confirm on cjdropshipping.com</t>
        </is>
      </c>
      <c r="R98" s="2" t="inlineStr">
        <is>
          <t>Search 'spa headband wristband set bow pink' with the US Warehouse filter on. Shipping: under 8 oz, estimate $4.50 (Zendrop $4 to $6 band).</t>
        </is>
      </c>
    </row>
    <row r="99">
      <c r="A99" s="3" t="inlineStr">
        <is>
          <t>E17</t>
        </is>
      </c>
      <c r="B99" s="3" t="inlineStr">
        <is>
          <t>Pink bow spa headband and wristband set</t>
        </is>
      </c>
      <c r="C99" s="3" t="inlineStr">
        <is>
          <t>backup</t>
        </is>
      </c>
      <c r="D99" s="3" t="inlineStr">
        <is>
          <t>Zendrop (Ships From: US filter)</t>
        </is>
      </c>
      <c r="E99" s="3" t="inlineStr">
        <is>
          <t>https://app.zendrop.com/ (search 'spa headband wristband set bow pink', Ships From: US)</t>
        </is>
      </c>
      <c r="F99" s="5" t="n">
        <v>1.65</v>
      </c>
      <c r="G99" s="5" t="n">
        <v>4.5</v>
      </c>
      <c r="H99" s="5" t="n">
        <v>4.5</v>
      </c>
      <c r="I99" s="3" t="inlineStr">
        <is>
          <t>3 to 11 days (1 to 3 business days processing + 2 to 8 days, support.zendrop.com via snippet)</t>
        </is>
      </c>
      <c r="J99" s="3" t="inlineStr">
        <is>
          <t>3 to 11 days (1 to 3 business days processing + 2 to 8 days, support.zendrop.com via snippet)</t>
        </is>
      </c>
      <c r="K99" s="5" t="n">
        <v>11</v>
      </c>
      <c r="L99" s="3" t="inlineStr">
        <is>
          <t>US</t>
        </is>
      </c>
      <c r="M99" s="3" t="n">
        <v>1</v>
      </c>
      <c r="N99" s="3" t="inlineStr">
        <is>
          <t>unbranded mailer (confirm)</t>
        </is>
      </c>
      <c r="O99" s="3" t="inlineStr">
        <is>
          <t>Zendrop: refund or replacement for damaged or lost orders; change-of-mind returns not covered. Confirm on support.zendrop.com.</t>
        </is>
      </c>
      <c r="P99" s="3" t="inlineStr">
        <is>
          <t>listing photos usable for the product page after checking the supplier licence; pins use our generated images</t>
        </is>
      </c>
      <c r="Q99" s="3" t="inlineStr">
        <is>
          <t>estimate; confirm on app.zendrop.com</t>
        </is>
      </c>
      <c r="R99" s="3" t="inlineStr">
        <is>
          <t>Needs a paid Zendrop plan ($29/month for 1 to 20 linked products). Cost estimate = CJ estimate + 10%. Search 'spa headband wristband set bow pink'.</t>
        </is>
      </c>
    </row>
    <row r="100">
      <c r="A100" s="3" t="inlineStr">
        <is>
          <t>E17</t>
        </is>
      </c>
      <c r="B100" s="3" t="inlineStr">
        <is>
          <t>Pink bow spa headband and wristband set</t>
        </is>
      </c>
      <c r="C100" s="3" t="inlineStr">
        <is>
          <t>last-resort</t>
        </is>
      </c>
      <c r="D100" s="3" t="inlineStr">
        <is>
          <t>AliExpress Choice (non-US, last resort)</t>
        </is>
      </c>
      <c r="E100" s="3" t="inlineStr">
        <is>
          <t>https://www.aliexpress.us/w/wholesale-spa-headband-wristband-set-bow-pink.html</t>
        </is>
      </c>
      <c r="F100" s="5" t="n">
        <v>0.9</v>
      </c>
      <c r="G100" s="5" t="n">
        <v>0</v>
      </c>
      <c r="H100" s="5" t="n">
        <v>0</v>
      </c>
      <c r="I100" s="3" t="inlineStr">
        <is>
          <t>7 to 15 days quoted on most Choice listings; exceeds the 10-day rule</t>
        </is>
      </c>
      <c r="J100" s="3" t="inlineStr">
        <is>
          <t>7 to 15 days quoted on most Choice listings; exceeds the 10-day rule</t>
        </is>
      </c>
      <c r="K100" s="5" t="n">
        <v>15</v>
      </c>
      <c r="L100" s="3" t="inlineStr">
        <is>
          <t>China</t>
        </is>
      </c>
      <c r="M100" s="3" t="n">
        <v>1</v>
      </c>
      <c r="N100" s="3" t="inlineStr">
        <is>
          <t>unbranded mailer (confirm)</t>
        </is>
      </c>
      <c r="O100" s="3" t="inlineStr">
        <is>
          <t>AliExpress Choice: free returns within 15 days on Choice items per AliExpress; the store still owes the customer a US return route. Confirm on aliexpress.com.</t>
        </is>
      </c>
      <c r="P100" s="3" t="inlineStr">
        <is>
          <t>listing photos usable for the product page after checking the supplier licence; pins use our generated images</t>
        </is>
      </c>
      <c r="Q100" s="3" t="inlineStr">
        <is>
          <t>estimate; confirm on aliexpress.com</t>
        </is>
      </c>
      <c r="R100" s="3" t="inlineStr">
        <is>
          <t>EXCLUDED for Q4 (15+ day quote). Evergreen only if the US options fail AND margin is 10 points better. Duties apply since de minimis ended 29 Aug 2025.</t>
        </is>
      </c>
    </row>
    <row r="101">
      <c r="A101" s="2" t="inlineStr">
        <is>
          <t>E18</t>
        </is>
      </c>
      <c r="B101" s="2" t="inlineStr">
        <is>
          <t>Covered acrylic makeup organiser with pink lid</t>
        </is>
      </c>
      <c r="C101" s="2" t="inlineStr">
        <is>
          <t>winner</t>
        </is>
      </c>
      <c r="D101" s="2" t="inlineStr">
        <is>
          <t>CJ Dropshipping (US warehouse filter)</t>
        </is>
      </c>
      <c r="E101" s="2" t="inlineStr">
        <is>
          <t>https://cjdropshipping.com/search/acrylic+makeup+organizer+with+lid+pink.html</t>
        </is>
      </c>
      <c r="F101" s="4" t="n">
        <v>8</v>
      </c>
      <c r="G101" s="4" t="n">
        <v>8.15</v>
      </c>
      <c r="H101" s="4" t="n">
        <v>8.15</v>
      </c>
      <c r="I101" s="2" t="inlineStr">
        <is>
          <t>4 to 9 days (1 to 3 processing + 3 to 6 transit, cjdropshipping.com via snippet)</t>
        </is>
      </c>
      <c r="J101" s="2" t="inlineStr">
        <is>
          <t>4 to 9 days (1 to 3 processing + 3 to 6 transit, cjdropshipping.com via snippet)</t>
        </is>
      </c>
      <c r="K101" s="4" t="n">
        <v>9</v>
      </c>
      <c r="L101" s="2" t="inlineStr">
        <is>
          <t>US (NJ or CA)</t>
        </is>
      </c>
      <c r="M101" s="2" t="n">
        <v>1</v>
      </c>
      <c r="N101" s="2" t="inlineStr">
        <is>
          <t>unbranded mailer (confirm)</t>
        </is>
      </c>
      <c r="O101" s="2" t="inlineStr">
        <is>
          <t>CJ: refund or resend for damaged, wrong or lost items; change-of-mind returns at buyer cost. Confirm on cjdropshipping.com (return policy page).</t>
        </is>
      </c>
      <c r="P101" s="2" t="inlineStr">
        <is>
          <t>listing photos usable for the product page after checking the supplier licence; pins use our generated images</t>
        </is>
      </c>
      <c r="Q101" s="2" t="inlineStr">
        <is>
          <t>estimate: cost = 40% of the US retail seen (Zendrop guide ratio $8 to $12 product on $25 retail); confirm on cjdropshipping.com</t>
        </is>
      </c>
      <c r="R101" s="2" t="inlineStr">
        <is>
          <t>Search 'acrylic makeup organizer with lid pink' with the US Warehouse filter on. Shipping: 1 to 2 lb, USPS Ground Advantage commercial 1 lb zone 4 $8.15 seen.</t>
        </is>
      </c>
    </row>
    <row r="102">
      <c r="A102" s="3" t="inlineStr">
        <is>
          <t>E18</t>
        </is>
      </c>
      <c r="B102" s="3" t="inlineStr">
        <is>
          <t>Covered acrylic makeup organiser with pink lid</t>
        </is>
      </c>
      <c r="C102" s="3" t="inlineStr">
        <is>
          <t>backup</t>
        </is>
      </c>
      <c r="D102" s="3" t="inlineStr">
        <is>
          <t>Zendrop (Ships From: US filter)</t>
        </is>
      </c>
      <c r="E102" s="3" t="inlineStr">
        <is>
          <t>https://app.zendrop.com/ (search 'acrylic makeup organizer with lid pink', Ships From: US)</t>
        </is>
      </c>
      <c r="F102" s="5" t="n">
        <v>8.800000000000001</v>
      </c>
      <c r="G102" s="5" t="n">
        <v>8.15</v>
      </c>
      <c r="H102" s="5" t="n">
        <v>8.15</v>
      </c>
      <c r="I102" s="3" t="inlineStr">
        <is>
          <t>3 to 11 days (1 to 3 business days processing + 2 to 8 days, support.zendrop.com via snippet)</t>
        </is>
      </c>
      <c r="J102" s="3" t="inlineStr">
        <is>
          <t>3 to 11 days (1 to 3 business days processing + 2 to 8 days, support.zendrop.com via snippet)</t>
        </is>
      </c>
      <c r="K102" s="5" t="n">
        <v>11</v>
      </c>
      <c r="L102" s="3" t="inlineStr">
        <is>
          <t>US</t>
        </is>
      </c>
      <c r="M102" s="3" t="n">
        <v>1</v>
      </c>
      <c r="N102" s="3" t="inlineStr">
        <is>
          <t>unbranded mailer (confirm)</t>
        </is>
      </c>
      <c r="O102" s="3" t="inlineStr">
        <is>
          <t>Zendrop: refund or replacement for damaged or lost orders; change-of-mind returns not covered. Confirm on support.zendrop.com.</t>
        </is>
      </c>
      <c r="P102" s="3" t="inlineStr">
        <is>
          <t>listing photos usable for the product page after checking the supplier licence; pins use our generated images</t>
        </is>
      </c>
      <c r="Q102" s="3" t="inlineStr">
        <is>
          <t>estimate; confirm on app.zendrop.com</t>
        </is>
      </c>
      <c r="R102" s="3" t="inlineStr">
        <is>
          <t>Needs a paid Zendrop plan ($29/month for 1 to 20 linked products). Cost estimate = CJ estimate + 10%. Search 'acrylic makeup organizer with lid pink'.</t>
        </is>
      </c>
    </row>
    <row r="103">
      <c r="A103" s="3" t="inlineStr">
        <is>
          <t>E18</t>
        </is>
      </c>
      <c r="B103" s="3" t="inlineStr">
        <is>
          <t>Covered acrylic makeup organiser with pink lid</t>
        </is>
      </c>
      <c r="C103" s="3" t="inlineStr">
        <is>
          <t>last-resort</t>
        </is>
      </c>
      <c r="D103" s="3" t="inlineStr">
        <is>
          <t>AliExpress Choice (non-US, last resort)</t>
        </is>
      </c>
      <c r="E103" s="3" t="inlineStr">
        <is>
          <t>https://www.aliexpress.us/w/wholesale-acrylic-makeup-organizer-with-lid-pink.html</t>
        </is>
      </c>
      <c r="F103" s="5" t="n">
        <v>4.8</v>
      </c>
      <c r="G103" s="5" t="n">
        <v>0</v>
      </c>
      <c r="H103" s="5" t="n">
        <v>0</v>
      </c>
      <c r="I103" s="3" t="inlineStr">
        <is>
          <t>7 to 15 days quoted on most Choice listings; exceeds the 10-day rule</t>
        </is>
      </c>
      <c r="J103" s="3" t="inlineStr">
        <is>
          <t>7 to 15 days quoted on most Choice listings; exceeds the 10-day rule</t>
        </is>
      </c>
      <c r="K103" s="5" t="n">
        <v>15</v>
      </c>
      <c r="L103" s="3" t="inlineStr">
        <is>
          <t>China</t>
        </is>
      </c>
      <c r="M103" s="3" t="n">
        <v>1</v>
      </c>
      <c r="N103" s="3" t="inlineStr">
        <is>
          <t>unbranded mailer (confirm)</t>
        </is>
      </c>
      <c r="O103" s="3" t="inlineStr">
        <is>
          <t>AliExpress Choice: free returns within 15 days on Choice items per AliExpress; the store still owes the customer a US return route. Confirm on aliexpress.com.</t>
        </is>
      </c>
      <c r="P103" s="3" t="inlineStr">
        <is>
          <t>listing photos usable for the product page after checking the supplier licence; pins use our generated images</t>
        </is>
      </c>
      <c r="Q103" s="3" t="inlineStr">
        <is>
          <t>estimate; confirm on aliexpress.com</t>
        </is>
      </c>
      <c r="R103" s="3" t="inlineStr">
        <is>
          <t>EXCLUDED for Q4 (15+ day quote). Evergreen only if the US options fail AND margin is 10 points better. Duties apply since de minimis ended 29 Aug 2025.</t>
        </is>
      </c>
    </row>
    <row r="104">
      <c r="A104" s="2" t="inlineStr">
        <is>
          <t>E19</t>
        </is>
      </c>
      <c r="B104" s="2" t="inlineStr">
        <is>
          <t>Puffy pink slippers</t>
        </is>
      </c>
      <c r="C104" s="2" t="inlineStr">
        <is>
          <t>winner</t>
        </is>
      </c>
      <c r="D104" s="2" t="inlineStr">
        <is>
          <t>CJ Dropshipping (US warehouse filter)</t>
        </is>
      </c>
      <c r="E104" s="2" t="inlineStr">
        <is>
          <t>https://cjdropshipping.com/search/puffy+slippers+pink+women.html</t>
        </is>
      </c>
      <c r="F104" s="4" t="n">
        <v>7</v>
      </c>
      <c r="G104" s="4" t="n">
        <v>5.5</v>
      </c>
      <c r="H104" s="4" t="n">
        <v>5.5</v>
      </c>
      <c r="I104" s="2" t="inlineStr">
        <is>
          <t>4 to 9 days (1 to 3 processing + 3 to 6 transit, cjdropshipping.com via snippet)</t>
        </is>
      </c>
      <c r="J104" s="2" t="inlineStr">
        <is>
          <t>4 to 9 days (1 to 3 processing + 3 to 6 transit, cjdropshipping.com via snippet)</t>
        </is>
      </c>
      <c r="K104" s="4" t="n">
        <v>9</v>
      </c>
      <c r="L104" s="2" t="inlineStr">
        <is>
          <t>US (NJ or CA)</t>
        </is>
      </c>
      <c r="M104" s="2" t="n">
        <v>1</v>
      </c>
      <c r="N104" s="2" t="inlineStr">
        <is>
          <t>unbranded mailer (confirm)</t>
        </is>
      </c>
      <c r="O104" s="2" t="inlineStr">
        <is>
          <t>CJ: refund or resend for damaged, wrong or lost items; change-of-mind returns at buyer cost. Confirm on cjdropshipping.com (return policy page).</t>
        </is>
      </c>
      <c r="P104" s="2" t="inlineStr">
        <is>
          <t>listing photos usable for the product page after checking the supplier licence; pins use our generated images</t>
        </is>
      </c>
      <c r="Q104" s="2" t="inlineStr">
        <is>
          <t>estimate: cost = 40% of the US retail seen (Zendrop guide ratio $8 to $12 product on $25 retail); confirm on cjdropshipping.com</t>
        </is>
      </c>
      <c r="R104" s="2" t="inlineStr">
        <is>
          <t>Search 'puffy slippers pink women' with the US Warehouse filter on. Shipping: 8 oz to 1 lb, estimate $5.50 (CJ 'about $5' example).</t>
        </is>
      </c>
    </row>
    <row r="105">
      <c r="A105" s="3" t="inlineStr">
        <is>
          <t>E19</t>
        </is>
      </c>
      <c r="B105" s="3" t="inlineStr">
        <is>
          <t>Puffy pink slippers</t>
        </is>
      </c>
      <c r="C105" s="3" t="inlineStr">
        <is>
          <t>backup</t>
        </is>
      </c>
      <c r="D105" s="3" t="inlineStr">
        <is>
          <t>Zendrop (Ships From: US filter)</t>
        </is>
      </c>
      <c r="E105" s="3" t="inlineStr">
        <is>
          <t>https://app.zendrop.com/ (search 'puffy slippers pink women', Ships From: US)</t>
        </is>
      </c>
      <c r="F105" s="5" t="n">
        <v>7.7</v>
      </c>
      <c r="G105" s="5" t="n">
        <v>5.5</v>
      </c>
      <c r="H105" s="5" t="n">
        <v>5.5</v>
      </c>
      <c r="I105" s="3" t="inlineStr">
        <is>
          <t>3 to 11 days (1 to 3 business days processing + 2 to 8 days, support.zendrop.com via snippet)</t>
        </is>
      </c>
      <c r="J105" s="3" t="inlineStr">
        <is>
          <t>3 to 11 days (1 to 3 business days processing + 2 to 8 days, support.zendrop.com via snippet)</t>
        </is>
      </c>
      <c r="K105" s="5" t="n">
        <v>11</v>
      </c>
      <c r="L105" s="3" t="inlineStr">
        <is>
          <t>US</t>
        </is>
      </c>
      <c r="M105" s="3" t="n">
        <v>1</v>
      </c>
      <c r="N105" s="3" t="inlineStr">
        <is>
          <t>unbranded mailer (confirm)</t>
        </is>
      </c>
      <c r="O105" s="3" t="inlineStr">
        <is>
          <t>Zendrop: refund or replacement for damaged or lost orders; change-of-mind returns not covered. Confirm on support.zendrop.com.</t>
        </is>
      </c>
      <c r="P105" s="3" t="inlineStr">
        <is>
          <t>listing photos usable for the product page after checking the supplier licence; pins use our generated images</t>
        </is>
      </c>
      <c r="Q105" s="3" t="inlineStr">
        <is>
          <t>estimate; confirm on app.zendrop.com</t>
        </is>
      </c>
      <c r="R105" s="3" t="inlineStr">
        <is>
          <t>Needs a paid Zendrop plan ($29/month for 1 to 20 linked products). Cost estimate = CJ estimate + 10%. Search 'puffy slippers pink women'.</t>
        </is>
      </c>
    </row>
    <row r="106">
      <c r="A106" s="3" t="inlineStr">
        <is>
          <t>E19</t>
        </is>
      </c>
      <c r="B106" s="3" t="inlineStr">
        <is>
          <t>Puffy pink slippers</t>
        </is>
      </c>
      <c r="C106" s="3" t="inlineStr">
        <is>
          <t>last-resort</t>
        </is>
      </c>
      <c r="D106" s="3" t="inlineStr">
        <is>
          <t>AliExpress Choice (non-US, last resort)</t>
        </is>
      </c>
      <c r="E106" s="3" t="inlineStr">
        <is>
          <t>https://www.aliexpress.us/w/wholesale-puffy-slippers-pink-women.html</t>
        </is>
      </c>
      <c r="F106" s="5" t="n">
        <v>4.2</v>
      </c>
      <c r="G106" s="5" t="n">
        <v>0</v>
      </c>
      <c r="H106" s="5" t="n">
        <v>0</v>
      </c>
      <c r="I106" s="3" t="inlineStr">
        <is>
          <t>7 to 15 days quoted on most Choice listings; exceeds the 10-day rule</t>
        </is>
      </c>
      <c r="J106" s="3" t="inlineStr">
        <is>
          <t>7 to 15 days quoted on most Choice listings; exceeds the 10-day rule</t>
        </is>
      </c>
      <c r="K106" s="5" t="n">
        <v>15</v>
      </c>
      <c r="L106" s="3" t="inlineStr">
        <is>
          <t>China</t>
        </is>
      </c>
      <c r="M106" s="3" t="n">
        <v>1</v>
      </c>
      <c r="N106" s="3" t="inlineStr">
        <is>
          <t>unbranded mailer (confirm)</t>
        </is>
      </c>
      <c r="O106" s="3" t="inlineStr">
        <is>
          <t>AliExpress Choice: free returns within 15 days on Choice items per AliExpress; the store still owes the customer a US return route. Confirm on aliexpress.com.</t>
        </is>
      </c>
      <c r="P106" s="3" t="inlineStr">
        <is>
          <t>listing photos usable for the product page after checking the supplier licence; pins use our generated images</t>
        </is>
      </c>
      <c r="Q106" s="3" t="inlineStr">
        <is>
          <t>estimate; confirm on aliexpress.com</t>
        </is>
      </c>
      <c r="R106" s="3" t="inlineStr">
        <is>
          <t>EXCLUDED for Q4 (15+ day quote). Evergreen only if the US options fail AND margin is 10 points better. Duties apply since de minimis ended 29 Aug 2025.</t>
        </is>
      </c>
    </row>
    <row r="107">
      <c r="A107" s="2" t="inlineStr">
        <is>
          <t>E20</t>
        </is>
      </c>
      <c r="B107" s="2" t="inlineStr">
        <is>
          <t>Pink satin sleep mask with bow</t>
        </is>
      </c>
      <c r="C107" s="2" t="inlineStr">
        <is>
          <t>winner</t>
        </is>
      </c>
      <c r="D107" s="2" t="inlineStr">
        <is>
          <t>CJ Dropshipping (US warehouse filter)</t>
        </is>
      </c>
      <c r="E107" s="2" t="inlineStr">
        <is>
          <t>https://cjdropshipping.com/search/satin+sleep+mask+bow+pink.html</t>
        </is>
      </c>
      <c r="F107" s="4" t="n">
        <v>4</v>
      </c>
      <c r="G107" s="4" t="n">
        <v>4.5</v>
      </c>
      <c r="H107" s="4" t="n">
        <v>4.5</v>
      </c>
      <c r="I107" s="2" t="inlineStr">
        <is>
          <t>4 to 9 days (1 to 3 processing + 3 to 6 transit, cjdropshipping.com via snippet)</t>
        </is>
      </c>
      <c r="J107" s="2" t="inlineStr">
        <is>
          <t>4 to 9 days (1 to 3 processing + 3 to 6 transit, cjdropshipping.com via snippet)</t>
        </is>
      </c>
      <c r="K107" s="4" t="n">
        <v>9</v>
      </c>
      <c r="L107" s="2" t="inlineStr">
        <is>
          <t>US (NJ or CA)</t>
        </is>
      </c>
      <c r="M107" s="2" t="n">
        <v>1</v>
      </c>
      <c r="N107" s="2" t="inlineStr">
        <is>
          <t>unbranded mailer (confirm)</t>
        </is>
      </c>
      <c r="O107" s="2" t="inlineStr">
        <is>
          <t>CJ: refund or resend for damaged, wrong or lost items; change-of-mind returns at buyer cost. Confirm on cjdropshipping.com (return policy page).</t>
        </is>
      </c>
      <c r="P107" s="2" t="inlineStr">
        <is>
          <t>listing photos usable for the product page after checking the supplier licence; pins use our generated images</t>
        </is>
      </c>
      <c r="Q107" s="2" t="inlineStr">
        <is>
          <t>estimate: cost = 40% of the US retail seen (Zendrop guide ratio $8 to $12 product on $25 retail); confirm on cjdropshipping.com</t>
        </is>
      </c>
      <c r="R107" s="2" t="inlineStr">
        <is>
          <t>Search 'satin sleep mask bow pink' with the US Warehouse filter on. Shipping: under 8 oz, estimate $4.50 (Zendrop $4 to $6 band).</t>
        </is>
      </c>
    </row>
    <row r="108">
      <c r="A108" s="3" t="inlineStr">
        <is>
          <t>E20</t>
        </is>
      </c>
      <c r="B108" s="3" t="inlineStr">
        <is>
          <t>Pink satin sleep mask with bow</t>
        </is>
      </c>
      <c r="C108" s="3" t="inlineStr">
        <is>
          <t>backup</t>
        </is>
      </c>
      <c r="D108" s="3" t="inlineStr">
        <is>
          <t>Zendrop (Ships From: US filter)</t>
        </is>
      </c>
      <c r="E108" s="3" t="inlineStr">
        <is>
          <t>https://app.zendrop.com/ (search 'satin sleep mask bow pink', Ships From: US)</t>
        </is>
      </c>
      <c r="F108" s="5" t="n">
        <v>4.4</v>
      </c>
      <c r="G108" s="5" t="n">
        <v>4.5</v>
      </c>
      <c r="H108" s="5" t="n">
        <v>4.5</v>
      </c>
      <c r="I108" s="3" t="inlineStr">
        <is>
          <t>3 to 11 days (1 to 3 business days processing + 2 to 8 days, support.zendrop.com via snippet)</t>
        </is>
      </c>
      <c r="J108" s="3" t="inlineStr">
        <is>
          <t>3 to 11 days (1 to 3 business days processing + 2 to 8 days, support.zendrop.com via snippet)</t>
        </is>
      </c>
      <c r="K108" s="5" t="n">
        <v>11</v>
      </c>
      <c r="L108" s="3" t="inlineStr">
        <is>
          <t>US</t>
        </is>
      </c>
      <c r="M108" s="3" t="n">
        <v>1</v>
      </c>
      <c r="N108" s="3" t="inlineStr">
        <is>
          <t>unbranded mailer (confirm)</t>
        </is>
      </c>
      <c r="O108" s="3" t="inlineStr">
        <is>
          <t>Zendrop: refund or replacement for damaged or lost orders; change-of-mind returns not covered. Confirm on support.zendrop.com.</t>
        </is>
      </c>
      <c r="P108" s="3" t="inlineStr">
        <is>
          <t>listing photos usable for the product page after checking the supplier licence; pins use our generated images</t>
        </is>
      </c>
      <c r="Q108" s="3" t="inlineStr">
        <is>
          <t>estimate; confirm on app.zendrop.com</t>
        </is>
      </c>
      <c r="R108" s="3" t="inlineStr">
        <is>
          <t>Needs a paid Zendrop plan ($29/month for 1 to 20 linked products). Cost estimate = CJ estimate + 10%. Search 'satin sleep mask bow pink'.</t>
        </is>
      </c>
    </row>
    <row r="109">
      <c r="A109" s="3" t="inlineStr">
        <is>
          <t>E20</t>
        </is>
      </c>
      <c r="B109" s="3" t="inlineStr">
        <is>
          <t>Pink satin sleep mask with bow</t>
        </is>
      </c>
      <c r="C109" s="3" t="inlineStr">
        <is>
          <t>last-resort</t>
        </is>
      </c>
      <c r="D109" s="3" t="inlineStr">
        <is>
          <t>AliExpress Choice (non-US, last resort)</t>
        </is>
      </c>
      <c r="E109" s="3" t="inlineStr">
        <is>
          <t>https://www.aliexpress.us/w/wholesale-satin-sleep-mask-bow-pink.html</t>
        </is>
      </c>
      <c r="F109" s="5" t="n">
        <v>2.4</v>
      </c>
      <c r="G109" s="5" t="n">
        <v>0</v>
      </c>
      <c r="H109" s="5" t="n">
        <v>0</v>
      </c>
      <c r="I109" s="3" t="inlineStr">
        <is>
          <t>7 to 15 days quoted on most Choice listings; exceeds the 10-day rule</t>
        </is>
      </c>
      <c r="J109" s="3" t="inlineStr">
        <is>
          <t>7 to 15 days quoted on most Choice listings; exceeds the 10-day rule</t>
        </is>
      </c>
      <c r="K109" s="5" t="n">
        <v>15</v>
      </c>
      <c r="L109" s="3" t="inlineStr">
        <is>
          <t>China</t>
        </is>
      </c>
      <c r="M109" s="3" t="n">
        <v>1</v>
      </c>
      <c r="N109" s="3" t="inlineStr">
        <is>
          <t>unbranded mailer (confirm)</t>
        </is>
      </c>
      <c r="O109" s="3" t="inlineStr">
        <is>
          <t>AliExpress Choice: free returns within 15 days on Choice items per AliExpress; the store still owes the customer a US return route. Confirm on aliexpress.com.</t>
        </is>
      </c>
      <c r="P109" s="3" t="inlineStr">
        <is>
          <t>listing photos usable for the product page after checking the supplier licence; pins use our generated images</t>
        </is>
      </c>
      <c r="Q109" s="3" t="inlineStr">
        <is>
          <t>estimate; confirm on aliexpress.com</t>
        </is>
      </c>
      <c r="R109" s="3" t="inlineStr">
        <is>
          <t>EXCLUDED for Q4 (15+ day quote). Evergreen only if the US options fail AND margin is 10 points better. Duties apply since de minimis ended 29 Aug 2025.</t>
        </is>
      </c>
    </row>
    <row r="110">
      <c r="A110" s="2" t="inlineStr">
        <is>
          <t>E21</t>
        </is>
      </c>
      <c r="B110" s="2" t="inlineStr">
        <is>
          <t>Pink feather-trim pajama set</t>
        </is>
      </c>
      <c r="C110" s="2" t="inlineStr">
        <is>
          <t>winner</t>
        </is>
      </c>
      <c r="D110" s="2" t="inlineStr">
        <is>
          <t>CJ Dropshipping (US warehouse filter)</t>
        </is>
      </c>
      <c r="E110" s="2" t="inlineStr">
        <is>
          <t>https://cjdropshipping.com/search/feather+trim+pajama+set+pink+satin.html</t>
        </is>
      </c>
      <c r="F110" s="4" t="n">
        <v>9</v>
      </c>
      <c r="G110" s="4" t="n">
        <v>5.5</v>
      </c>
      <c r="H110" s="4" t="n">
        <v>5.5</v>
      </c>
      <c r="I110" s="2" t="inlineStr">
        <is>
          <t>4 to 9 days (1 to 3 processing + 3 to 6 transit, cjdropshipping.com via snippet)</t>
        </is>
      </c>
      <c r="J110" s="2" t="inlineStr">
        <is>
          <t>4 to 9 days (1 to 3 processing + 3 to 6 transit, cjdropshipping.com via snippet)</t>
        </is>
      </c>
      <c r="K110" s="4" t="n">
        <v>9</v>
      </c>
      <c r="L110" s="2" t="inlineStr">
        <is>
          <t>US (NJ or CA)</t>
        </is>
      </c>
      <c r="M110" s="2" t="n">
        <v>1</v>
      </c>
      <c r="N110" s="2" t="inlineStr">
        <is>
          <t>unbranded mailer (confirm)</t>
        </is>
      </c>
      <c r="O110" s="2" t="inlineStr">
        <is>
          <t>CJ: refund or resend for damaged, wrong or lost items; change-of-mind returns at buyer cost. Confirm on cjdropshipping.com (return policy page).</t>
        </is>
      </c>
      <c r="P110" s="2" t="inlineStr">
        <is>
          <t>listing photos usable for the product page after checking the supplier licence; pins use our generated images</t>
        </is>
      </c>
      <c r="Q110" s="2" t="inlineStr">
        <is>
          <t>estimate: cost = 40% of the US retail seen (Zendrop guide ratio $8 to $12 product on $25 retail); confirm on cjdropshipping.com</t>
        </is>
      </c>
      <c r="R110" s="2" t="inlineStr">
        <is>
          <t>Search 'feather trim pajama set pink satin' with the US Warehouse filter on. Shipping: 8 oz to 1 lb, estimate $5.50 (CJ 'about $5' example).</t>
        </is>
      </c>
    </row>
    <row r="111">
      <c r="A111" s="3" t="inlineStr">
        <is>
          <t>E21</t>
        </is>
      </c>
      <c r="B111" s="3" t="inlineStr">
        <is>
          <t>Pink feather-trim pajama set</t>
        </is>
      </c>
      <c r="C111" s="3" t="inlineStr">
        <is>
          <t>backup</t>
        </is>
      </c>
      <c r="D111" s="3" t="inlineStr">
        <is>
          <t>Zendrop (Ships From: US filter)</t>
        </is>
      </c>
      <c r="E111" s="3" t="inlineStr">
        <is>
          <t>https://app.zendrop.com/ (search 'feather trim pajama set pink satin', Ships From: US)</t>
        </is>
      </c>
      <c r="F111" s="5" t="n">
        <v>9.9</v>
      </c>
      <c r="G111" s="5" t="n">
        <v>5.5</v>
      </c>
      <c r="H111" s="5" t="n">
        <v>5.5</v>
      </c>
      <c r="I111" s="3" t="inlineStr">
        <is>
          <t>3 to 11 days (1 to 3 business days processing + 2 to 8 days, support.zendrop.com via snippet)</t>
        </is>
      </c>
      <c r="J111" s="3" t="inlineStr">
        <is>
          <t>3 to 11 days (1 to 3 business days processing + 2 to 8 days, support.zendrop.com via snippet)</t>
        </is>
      </c>
      <c r="K111" s="5" t="n">
        <v>11</v>
      </c>
      <c r="L111" s="3" t="inlineStr">
        <is>
          <t>US</t>
        </is>
      </c>
      <c r="M111" s="3" t="n">
        <v>1</v>
      </c>
      <c r="N111" s="3" t="inlineStr">
        <is>
          <t>unbranded mailer (confirm)</t>
        </is>
      </c>
      <c r="O111" s="3" t="inlineStr">
        <is>
          <t>Zendrop: refund or replacement for damaged or lost orders; change-of-mind returns not covered. Confirm on support.zendrop.com.</t>
        </is>
      </c>
      <c r="P111" s="3" t="inlineStr">
        <is>
          <t>listing photos usable for the product page after checking the supplier licence; pins use our generated images</t>
        </is>
      </c>
      <c r="Q111" s="3" t="inlineStr">
        <is>
          <t>estimate; confirm on app.zendrop.com</t>
        </is>
      </c>
      <c r="R111" s="3" t="inlineStr">
        <is>
          <t>Needs a paid Zendrop plan ($29/month for 1 to 20 linked products). Cost estimate = CJ estimate + 10%. Search 'feather trim pajama set pink satin'.</t>
        </is>
      </c>
    </row>
    <row r="112">
      <c r="A112" s="3" t="inlineStr">
        <is>
          <t>E21</t>
        </is>
      </c>
      <c r="B112" s="3" t="inlineStr">
        <is>
          <t>Pink feather-trim pajama set</t>
        </is>
      </c>
      <c r="C112" s="3" t="inlineStr">
        <is>
          <t>last-resort</t>
        </is>
      </c>
      <c r="D112" s="3" t="inlineStr">
        <is>
          <t>AliExpress Choice (non-US, last resort)</t>
        </is>
      </c>
      <c r="E112" s="3" t="inlineStr">
        <is>
          <t>https://www.aliexpress.us/w/wholesale-feather-trim-pajama-set-pink-satin.html</t>
        </is>
      </c>
      <c r="F112" s="5" t="n">
        <v>5.4</v>
      </c>
      <c r="G112" s="5" t="n">
        <v>0</v>
      </c>
      <c r="H112" s="5" t="n">
        <v>0</v>
      </c>
      <c r="I112" s="3" t="inlineStr">
        <is>
          <t>7 to 15 days quoted on most Choice listings; exceeds the 10-day rule</t>
        </is>
      </c>
      <c r="J112" s="3" t="inlineStr">
        <is>
          <t>7 to 15 days quoted on most Choice listings; exceeds the 10-day rule</t>
        </is>
      </c>
      <c r="K112" s="5" t="n">
        <v>15</v>
      </c>
      <c r="L112" s="3" t="inlineStr">
        <is>
          <t>China</t>
        </is>
      </c>
      <c r="M112" s="3" t="n">
        <v>1</v>
      </c>
      <c r="N112" s="3" t="inlineStr">
        <is>
          <t>unbranded mailer (confirm)</t>
        </is>
      </c>
      <c r="O112" s="3" t="inlineStr">
        <is>
          <t>AliExpress Choice: free returns within 15 days on Choice items per AliExpress; the store still owes the customer a US return route. Confirm on aliexpress.com.</t>
        </is>
      </c>
      <c r="P112" s="3" t="inlineStr">
        <is>
          <t>listing photos usable for the product page after checking the supplier licence; pins use our generated images</t>
        </is>
      </c>
      <c r="Q112" s="3" t="inlineStr">
        <is>
          <t>estimate; confirm on aliexpress.com</t>
        </is>
      </c>
      <c r="R112" s="3" t="inlineStr">
        <is>
          <t>EXCLUDED for Q4 (15+ day quote). Evergreen only if the US options fail AND margin is 10 points better. Duties apply since de minimis ended 29 Aug 2025.</t>
        </is>
      </c>
    </row>
    <row r="113">
      <c r="A113" s="2" t="inlineStr">
        <is>
          <t>E22</t>
        </is>
      </c>
      <c r="B113" s="2" t="inlineStr">
        <is>
          <t>Pink satin heatless curling rod set</t>
        </is>
      </c>
      <c r="C113" s="2" t="inlineStr">
        <is>
          <t>winner</t>
        </is>
      </c>
      <c r="D113" s="2" t="inlineStr">
        <is>
          <t>CJ Dropshipping (US warehouse filter)</t>
        </is>
      </c>
      <c r="E113" s="2" t="inlineStr">
        <is>
          <t>https://cjdropshipping.com/search/heatless+curling+rod+satin+set+pink.html</t>
        </is>
      </c>
      <c r="F113" s="4" t="n">
        <v>4</v>
      </c>
      <c r="G113" s="4" t="n">
        <v>4.5</v>
      </c>
      <c r="H113" s="4" t="n">
        <v>4.5</v>
      </c>
      <c r="I113" s="2" t="inlineStr">
        <is>
          <t>4 to 9 days (1 to 3 processing + 3 to 6 transit, cjdropshipping.com via snippet)</t>
        </is>
      </c>
      <c r="J113" s="2" t="inlineStr">
        <is>
          <t>4 to 9 days (1 to 3 processing + 3 to 6 transit, cjdropshipping.com via snippet)</t>
        </is>
      </c>
      <c r="K113" s="4" t="n">
        <v>9</v>
      </c>
      <c r="L113" s="2" t="inlineStr">
        <is>
          <t>US (NJ or CA)</t>
        </is>
      </c>
      <c r="M113" s="2" t="n">
        <v>1</v>
      </c>
      <c r="N113" s="2" t="inlineStr">
        <is>
          <t>unbranded mailer (confirm)</t>
        </is>
      </c>
      <c r="O113" s="2" t="inlineStr">
        <is>
          <t>CJ: refund or resend for damaged, wrong or lost items; change-of-mind returns at buyer cost. Confirm on cjdropshipping.com (return policy page).</t>
        </is>
      </c>
      <c r="P113" s="2" t="inlineStr">
        <is>
          <t>listing photos usable for the product page after checking the supplier licence; pins use our generated images</t>
        </is>
      </c>
      <c r="Q113" s="2" t="inlineStr">
        <is>
          <t>estimate: cost = 40% of the US retail seen (Zendrop guide ratio $8 to $12 product on $25 retail); confirm on cjdropshipping.com</t>
        </is>
      </c>
      <c r="R113" s="2" t="inlineStr">
        <is>
          <t>Search 'heatless curling rod satin set pink' with the US Warehouse filter on. Shipping: under 8 oz, estimate $4.50 (Zendrop $4 to $6 band).</t>
        </is>
      </c>
    </row>
    <row r="114">
      <c r="A114" s="3" t="inlineStr">
        <is>
          <t>E22</t>
        </is>
      </c>
      <c r="B114" s="3" t="inlineStr">
        <is>
          <t>Pink satin heatless curling rod set</t>
        </is>
      </c>
      <c r="C114" s="3" t="inlineStr">
        <is>
          <t>backup</t>
        </is>
      </c>
      <c r="D114" s="3" t="inlineStr">
        <is>
          <t>Zendrop (Ships From: US filter)</t>
        </is>
      </c>
      <c r="E114" s="3" t="inlineStr">
        <is>
          <t>https://app.zendrop.com/ (search 'heatless curling rod satin set pink', Ships From: US)</t>
        </is>
      </c>
      <c r="F114" s="5" t="n">
        <v>4.4</v>
      </c>
      <c r="G114" s="5" t="n">
        <v>4.5</v>
      </c>
      <c r="H114" s="5" t="n">
        <v>4.5</v>
      </c>
      <c r="I114" s="3" t="inlineStr">
        <is>
          <t>3 to 11 days (1 to 3 business days processing + 2 to 8 days, support.zendrop.com via snippet)</t>
        </is>
      </c>
      <c r="J114" s="3" t="inlineStr">
        <is>
          <t>3 to 11 days (1 to 3 business days processing + 2 to 8 days, support.zendrop.com via snippet)</t>
        </is>
      </c>
      <c r="K114" s="5" t="n">
        <v>11</v>
      </c>
      <c r="L114" s="3" t="inlineStr">
        <is>
          <t>US</t>
        </is>
      </c>
      <c r="M114" s="3" t="n">
        <v>1</v>
      </c>
      <c r="N114" s="3" t="inlineStr">
        <is>
          <t>unbranded mailer (confirm)</t>
        </is>
      </c>
      <c r="O114" s="3" t="inlineStr">
        <is>
          <t>Zendrop: refund or replacement for damaged or lost orders; change-of-mind returns not covered. Confirm on support.zendrop.com.</t>
        </is>
      </c>
      <c r="P114" s="3" t="inlineStr">
        <is>
          <t>listing photos usable for the product page after checking the supplier licence; pins use our generated images</t>
        </is>
      </c>
      <c r="Q114" s="3" t="inlineStr">
        <is>
          <t>estimate; confirm on app.zendrop.com</t>
        </is>
      </c>
      <c r="R114" s="3" t="inlineStr">
        <is>
          <t>Needs a paid Zendrop plan ($29/month for 1 to 20 linked products). Cost estimate = CJ estimate + 10%. Search 'heatless curling rod satin set pink'.</t>
        </is>
      </c>
    </row>
    <row r="115">
      <c r="A115" s="3" t="inlineStr">
        <is>
          <t>E22</t>
        </is>
      </c>
      <c r="B115" s="3" t="inlineStr">
        <is>
          <t>Pink satin heatless curling rod set</t>
        </is>
      </c>
      <c r="C115" s="3" t="inlineStr">
        <is>
          <t>last-resort</t>
        </is>
      </c>
      <c r="D115" s="3" t="inlineStr">
        <is>
          <t>AliExpress Choice (non-US, last resort)</t>
        </is>
      </c>
      <c r="E115" s="3" t="inlineStr">
        <is>
          <t>https://www.aliexpress.com/item/1005010692448858.html</t>
        </is>
      </c>
      <c r="F115" s="5" t="n">
        <v>2.4</v>
      </c>
      <c r="G115" s="5" t="n">
        <v>0</v>
      </c>
      <c r="H115" s="5" t="n">
        <v>0</v>
      </c>
      <c r="I115" s="3" t="inlineStr">
        <is>
          <t>7 to 15 days quoted on most Choice listings; exceeds the 10-day rule</t>
        </is>
      </c>
      <c r="J115" s="3" t="inlineStr">
        <is>
          <t>7 to 15 days quoted on most Choice listings; exceeds the 10-day rule</t>
        </is>
      </c>
      <c r="K115" s="5" t="n">
        <v>15</v>
      </c>
      <c r="L115" s="3" t="inlineStr">
        <is>
          <t>China</t>
        </is>
      </c>
      <c r="M115" s="3" t="n">
        <v>1</v>
      </c>
      <c r="N115" s="3" t="inlineStr">
        <is>
          <t>unbranded mailer (confirm)</t>
        </is>
      </c>
      <c r="O115" s="3" t="inlineStr">
        <is>
          <t>AliExpress Choice: free returns within 15 days on Choice items per AliExpress; the store still owes the customer a US return route. Confirm on aliexpress.com.</t>
        </is>
      </c>
      <c r="P115" s="3" t="inlineStr">
        <is>
          <t>listing photos usable for the product page after checking the supplier licence; pins use our generated images</t>
        </is>
      </c>
      <c r="Q115" s="3" t="inlineStr">
        <is>
          <t>estimate; confirm on aliexpress.com</t>
        </is>
      </c>
      <c r="R115" s="3" t="inlineStr">
        <is>
          <t>EXCLUDED for Q4 (15+ day quote). Evergreen only if the US options fail AND margin is 10 points better. Duties apply since de minimis ended 29 Aug 2025.</t>
        </is>
      </c>
    </row>
    <row r="116">
      <c r="A116" s="2" t="inlineStr">
        <is>
          <t>E23</t>
        </is>
      </c>
      <c r="B116" s="2" t="inlineStr">
        <is>
          <t>Pink robe with feather trim, one size</t>
        </is>
      </c>
      <c r="C116" s="2" t="inlineStr">
        <is>
          <t>winner</t>
        </is>
      </c>
      <c r="D116" s="2" t="inlineStr">
        <is>
          <t>CJ Dropshipping (US warehouse filter)</t>
        </is>
      </c>
      <c r="E116" s="2" t="inlineStr">
        <is>
          <t>https://cjdropshipping.com/search/robe+feather+trim+pink+one+size.html</t>
        </is>
      </c>
      <c r="F116" s="4" t="n">
        <v>16</v>
      </c>
      <c r="G116" s="4" t="n">
        <v>8.15</v>
      </c>
      <c r="H116" s="4" t="n">
        <v>8.15</v>
      </c>
      <c r="I116" s="2" t="inlineStr">
        <is>
          <t>4 to 9 days (1 to 3 processing + 3 to 6 transit, cjdropshipping.com via snippet)</t>
        </is>
      </c>
      <c r="J116" s="2" t="inlineStr">
        <is>
          <t>4 to 9 days (1 to 3 processing + 3 to 6 transit, cjdropshipping.com via snippet)</t>
        </is>
      </c>
      <c r="K116" s="4" t="n">
        <v>9</v>
      </c>
      <c r="L116" s="2" t="inlineStr">
        <is>
          <t>US (NJ or CA)</t>
        </is>
      </c>
      <c r="M116" s="2" t="n">
        <v>1</v>
      </c>
      <c r="N116" s="2" t="inlineStr">
        <is>
          <t>unbranded mailer (confirm)</t>
        </is>
      </c>
      <c r="O116" s="2" t="inlineStr">
        <is>
          <t>CJ: refund or resend for damaged, wrong or lost items; change-of-mind returns at buyer cost. Confirm on cjdropshipping.com (return policy page).</t>
        </is>
      </c>
      <c r="P116" s="2" t="inlineStr">
        <is>
          <t>listing photos usable for the product page after checking the supplier licence; pins use our generated images</t>
        </is>
      </c>
      <c r="Q116" s="2" t="inlineStr">
        <is>
          <t>estimate: cost = 40% of the US retail seen (Zendrop guide ratio $8 to $12 product on $25 retail); confirm on cjdropshipping.com</t>
        </is>
      </c>
      <c r="R116" s="2" t="inlineStr">
        <is>
          <t>Search 'robe feather trim pink one size' with the US Warehouse filter on. Shipping: 1 to 2 lb, USPS Ground Advantage commercial 1 lb zone 4 $8.15 seen.</t>
        </is>
      </c>
    </row>
    <row r="117">
      <c r="A117" s="3" t="inlineStr">
        <is>
          <t>E23</t>
        </is>
      </c>
      <c r="B117" s="3" t="inlineStr">
        <is>
          <t>Pink robe with feather trim, one size</t>
        </is>
      </c>
      <c r="C117" s="3" t="inlineStr">
        <is>
          <t>backup</t>
        </is>
      </c>
      <c r="D117" s="3" t="inlineStr">
        <is>
          <t>Zendrop (Ships From: US filter)</t>
        </is>
      </c>
      <c r="E117" s="3" t="inlineStr">
        <is>
          <t>https://app.zendrop.com/ (search 'robe feather trim pink one size', Ships From: US)</t>
        </is>
      </c>
      <c r="F117" s="5" t="n">
        <v>17.6</v>
      </c>
      <c r="G117" s="5" t="n">
        <v>8.15</v>
      </c>
      <c r="H117" s="5" t="n">
        <v>8.15</v>
      </c>
      <c r="I117" s="3" t="inlineStr">
        <is>
          <t>3 to 11 days (1 to 3 business days processing + 2 to 8 days, support.zendrop.com via snippet)</t>
        </is>
      </c>
      <c r="J117" s="3" t="inlineStr">
        <is>
          <t>3 to 11 days (1 to 3 business days processing + 2 to 8 days, support.zendrop.com via snippet)</t>
        </is>
      </c>
      <c r="K117" s="5" t="n">
        <v>11</v>
      </c>
      <c r="L117" s="3" t="inlineStr">
        <is>
          <t>US</t>
        </is>
      </c>
      <c r="M117" s="3" t="n">
        <v>1</v>
      </c>
      <c r="N117" s="3" t="inlineStr">
        <is>
          <t>unbranded mailer (confirm)</t>
        </is>
      </c>
      <c r="O117" s="3" t="inlineStr">
        <is>
          <t>Zendrop: refund or replacement for damaged or lost orders; change-of-mind returns not covered. Confirm on support.zendrop.com.</t>
        </is>
      </c>
      <c r="P117" s="3" t="inlineStr">
        <is>
          <t>listing photos usable for the product page after checking the supplier licence; pins use our generated images</t>
        </is>
      </c>
      <c r="Q117" s="3" t="inlineStr">
        <is>
          <t>estimate; confirm on app.zendrop.com</t>
        </is>
      </c>
      <c r="R117" s="3" t="inlineStr">
        <is>
          <t>Needs a paid Zendrop plan ($29/month for 1 to 20 linked products). Cost estimate = CJ estimate + 10%. Search 'robe feather trim pink one size'.</t>
        </is>
      </c>
    </row>
    <row r="118">
      <c r="A118" s="3" t="inlineStr">
        <is>
          <t>E23</t>
        </is>
      </c>
      <c r="B118" s="3" t="inlineStr">
        <is>
          <t>Pink robe with feather trim, one size</t>
        </is>
      </c>
      <c r="C118" s="3" t="inlineStr">
        <is>
          <t>last-resort</t>
        </is>
      </c>
      <c r="D118" s="3" t="inlineStr">
        <is>
          <t>AliExpress Choice (non-US, last resort)</t>
        </is>
      </c>
      <c r="E118" s="3" t="inlineStr">
        <is>
          <t>https://www.aliexpress.us/w/wholesale-robe-feather-trim-pink-one-size.html</t>
        </is>
      </c>
      <c r="F118" s="5" t="n">
        <v>9.6</v>
      </c>
      <c r="G118" s="5" t="n">
        <v>0</v>
      </c>
      <c r="H118" s="5" t="n">
        <v>0</v>
      </c>
      <c r="I118" s="3" t="inlineStr">
        <is>
          <t>7 to 15 days quoted on most Choice listings; exceeds the 10-day rule</t>
        </is>
      </c>
      <c r="J118" s="3" t="inlineStr">
        <is>
          <t>7 to 15 days quoted on most Choice listings; exceeds the 10-day rule</t>
        </is>
      </c>
      <c r="K118" s="5" t="n">
        <v>15</v>
      </c>
      <c r="L118" s="3" t="inlineStr">
        <is>
          <t>China</t>
        </is>
      </c>
      <c r="M118" s="3" t="n">
        <v>1</v>
      </c>
      <c r="N118" s="3" t="inlineStr">
        <is>
          <t>unbranded mailer (confirm)</t>
        </is>
      </c>
      <c r="O118" s="3" t="inlineStr">
        <is>
          <t>AliExpress Choice: free returns within 15 days on Choice items per AliExpress; the store still owes the customer a US return route. Confirm on aliexpress.com.</t>
        </is>
      </c>
      <c r="P118" s="3" t="inlineStr">
        <is>
          <t>listing photos usable for the product page after checking the supplier licence; pins use our generated images</t>
        </is>
      </c>
      <c r="Q118" s="3" t="inlineStr">
        <is>
          <t>estimate; confirm on aliexpress.com</t>
        </is>
      </c>
      <c r="R118" s="3" t="inlineStr">
        <is>
          <t>EXCLUDED for Q4 (15+ day quote). Evergreen only if the US options fail AND margin is 10 points better. Duties apply since de minimis ended 29 Aug 2025.</t>
        </is>
      </c>
    </row>
    <row r="119">
      <c r="A119" s="2" t="inlineStr">
        <is>
          <t>E24</t>
        </is>
      </c>
      <c r="B119" s="2" t="inlineStr">
        <is>
          <t>Cream hooded wearable blanket</t>
        </is>
      </c>
      <c r="C119" s="2" t="inlineStr">
        <is>
          <t>winner</t>
        </is>
      </c>
      <c r="D119" s="2" t="inlineStr">
        <is>
          <t>CJ Dropshipping (US warehouse filter)</t>
        </is>
      </c>
      <c r="E119" s="2" t="inlineStr">
        <is>
          <t>https://cjdropshipping.com/search/hooded+wearable+blanket+fleece+cream.html</t>
        </is>
      </c>
      <c r="F119" s="4" t="n">
        <v>9</v>
      </c>
      <c r="G119" s="4" t="n">
        <v>8.15</v>
      </c>
      <c r="H119" s="4" t="n">
        <v>8.15</v>
      </c>
      <c r="I119" s="2" t="inlineStr">
        <is>
          <t>4 to 9 days (1 to 3 processing + 3 to 6 transit, cjdropshipping.com via snippet)</t>
        </is>
      </c>
      <c r="J119" s="2" t="inlineStr">
        <is>
          <t>4 to 9 days (1 to 3 processing + 3 to 6 transit, cjdropshipping.com via snippet)</t>
        </is>
      </c>
      <c r="K119" s="4" t="n">
        <v>9</v>
      </c>
      <c r="L119" s="2" t="inlineStr">
        <is>
          <t>US (NJ or CA)</t>
        </is>
      </c>
      <c r="M119" s="2" t="n">
        <v>1</v>
      </c>
      <c r="N119" s="2" t="inlineStr">
        <is>
          <t>unbranded mailer (confirm)</t>
        </is>
      </c>
      <c r="O119" s="2" t="inlineStr">
        <is>
          <t>CJ: refund or resend for damaged, wrong or lost items; change-of-mind returns at buyer cost. Confirm on cjdropshipping.com (return policy page).</t>
        </is>
      </c>
      <c r="P119" s="2" t="inlineStr">
        <is>
          <t>listing photos usable for the product page after checking the supplier licence; pins use our generated images</t>
        </is>
      </c>
      <c r="Q119" s="2" t="inlineStr">
        <is>
          <t>estimate: cost = 40% of the US retail seen (Zendrop guide ratio $8 to $12 product on $25 retail); confirm on cjdropshipping.com</t>
        </is>
      </c>
      <c r="R119" s="2" t="inlineStr">
        <is>
          <t>Search 'hooded wearable blanket fleece cream' with the US Warehouse filter on. Shipping: 1 to 2 lb, USPS Ground Advantage commercial 1 lb zone 4 $8.15 seen.</t>
        </is>
      </c>
    </row>
    <row r="120">
      <c r="A120" s="3" t="inlineStr">
        <is>
          <t>E24</t>
        </is>
      </c>
      <c r="B120" s="3" t="inlineStr">
        <is>
          <t>Cream hooded wearable blanket</t>
        </is>
      </c>
      <c r="C120" s="3" t="inlineStr">
        <is>
          <t>backup</t>
        </is>
      </c>
      <c r="D120" s="3" t="inlineStr">
        <is>
          <t>Zendrop (Ships From: US filter)</t>
        </is>
      </c>
      <c r="E120" s="3" t="inlineStr">
        <is>
          <t>https://app.zendrop.com/ (search 'hooded wearable blanket fleece cream', Ships From: US)</t>
        </is>
      </c>
      <c r="F120" s="5" t="n">
        <v>9.9</v>
      </c>
      <c r="G120" s="5" t="n">
        <v>8.15</v>
      </c>
      <c r="H120" s="5" t="n">
        <v>8.15</v>
      </c>
      <c r="I120" s="3" t="inlineStr">
        <is>
          <t>3 to 11 days (1 to 3 business days processing + 2 to 8 days, support.zendrop.com via snippet)</t>
        </is>
      </c>
      <c r="J120" s="3" t="inlineStr">
        <is>
          <t>3 to 11 days (1 to 3 business days processing + 2 to 8 days, support.zendrop.com via snippet)</t>
        </is>
      </c>
      <c r="K120" s="5" t="n">
        <v>11</v>
      </c>
      <c r="L120" s="3" t="inlineStr">
        <is>
          <t>US</t>
        </is>
      </c>
      <c r="M120" s="3" t="n">
        <v>1</v>
      </c>
      <c r="N120" s="3" t="inlineStr">
        <is>
          <t>unbranded mailer (confirm)</t>
        </is>
      </c>
      <c r="O120" s="3" t="inlineStr">
        <is>
          <t>Zendrop: refund or replacement for damaged or lost orders; change-of-mind returns not covered. Confirm on support.zendrop.com.</t>
        </is>
      </c>
      <c r="P120" s="3" t="inlineStr">
        <is>
          <t>listing photos usable for the product page after checking the supplier licence; pins use our generated images</t>
        </is>
      </c>
      <c r="Q120" s="3" t="inlineStr">
        <is>
          <t>estimate; confirm on app.zendrop.com</t>
        </is>
      </c>
      <c r="R120" s="3" t="inlineStr">
        <is>
          <t>Needs a paid Zendrop plan ($29/month for 1 to 20 linked products). Cost estimate = CJ estimate + 10%. Search 'hooded wearable blanket fleece cream'.</t>
        </is>
      </c>
    </row>
    <row r="121">
      <c r="A121" s="3" t="inlineStr">
        <is>
          <t>E24</t>
        </is>
      </c>
      <c r="B121" s="3" t="inlineStr">
        <is>
          <t>Cream hooded wearable blanket</t>
        </is>
      </c>
      <c r="C121" s="3" t="inlineStr">
        <is>
          <t>last-resort</t>
        </is>
      </c>
      <c r="D121" s="3" t="inlineStr">
        <is>
          <t>AliExpress Choice (non-US, last resort)</t>
        </is>
      </c>
      <c r="E121" s="3" t="inlineStr">
        <is>
          <t>https://www.aliexpress.us/w/wholesale-hooded-wearable-blanket-fleece-cream.html</t>
        </is>
      </c>
      <c r="F121" s="5" t="n">
        <v>5.4</v>
      </c>
      <c r="G121" s="5" t="n">
        <v>0</v>
      </c>
      <c r="H121" s="5" t="n">
        <v>0</v>
      </c>
      <c r="I121" s="3" t="inlineStr">
        <is>
          <t>7 to 15 days quoted on most Choice listings; exceeds the 10-day rule</t>
        </is>
      </c>
      <c r="J121" s="3" t="inlineStr">
        <is>
          <t>7 to 15 days quoted on most Choice listings; exceeds the 10-day rule</t>
        </is>
      </c>
      <c r="K121" s="5" t="n">
        <v>15</v>
      </c>
      <c r="L121" s="3" t="inlineStr">
        <is>
          <t>China</t>
        </is>
      </c>
      <c r="M121" s="3" t="n">
        <v>1</v>
      </c>
      <c r="N121" s="3" t="inlineStr">
        <is>
          <t>unbranded mailer (confirm)</t>
        </is>
      </c>
      <c r="O121" s="3" t="inlineStr">
        <is>
          <t>AliExpress Choice: free returns within 15 days on Choice items per AliExpress; the store still owes the customer a US return route. Confirm on aliexpress.com.</t>
        </is>
      </c>
      <c r="P121" s="3" t="inlineStr">
        <is>
          <t>listing photos usable for the product page after checking the supplier licence; pins use our generated images</t>
        </is>
      </c>
      <c r="Q121" s="3" t="inlineStr">
        <is>
          <t>estimate; confirm on aliexpress.com</t>
        </is>
      </c>
      <c r="R121" s="3" t="inlineStr">
        <is>
          <t>EXCLUDED for Q4 (15+ day quote). Evergreen only if the US options fail AND margin is 10 points better. Duties apply since de minimis ended 29 Aug 2025.</t>
        </is>
      </c>
    </row>
  </sheetData>
  <autoFilter ref="A1:R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xSplit="2" ySplit="19" topLeftCell="C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0" customWidth="1" min="2" max="2"/>
    <col width="22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  <col width="9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9" customWidth="1" min="20" max="20"/>
    <col width="18" customWidth="1" min="21" max="21"/>
    <col width="12" customWidth="1" min="22" max="22"/>
    <col width="12" customWidth="1" min="23" max="23"/>
    <col width="16" customWidth="1" min="24" max="24"/>
  </cols>
  <sheetData>
    <row r="1">
      <c r="A1" s="6" t="inlineStr">
        <is>
          <t>ASSUMPTIONS (blue cells are inputs; change them and every row recalculates)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</row>
    <row r="2">
      <c r="A2" s="8" t="inlineStr">
        <is>
          <t>Orders per month (amortisation base)</t>
        </is>
      </c>
      <c r="B2" s="9" t="n">
        <v>30</v>
      </c>
      <c r="C2" s="10" t="inlineStr">
        <is>
          <t>Job D1 brief assumes 30 orders/month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</row>
    <row r="3">
      <c r="A3" s="8" t="inlineStr">
        <is>
          <t>Platform monthly fee ($)</t>
        </is>
      </c>
      <c r="B3" s="11" t="n">
        <v>39</v>
      </c>
      <c r="C3" s="10" t="inlineStr">
        <is>
          <t>Shopify Basic, monthly billing, $39/month (help.shopify.com Basic plan page via search snippet, 2026; $1/month for the first 3 months intro offer not modelled). Confirm on shopify.com/pricing.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>
      <c r="A4" s="8" t="inlineStr">
        <is>
          <t>Fulfilment app monthly fee ($)</t>
        </is>
      </c>
      <c r="B4" s="11" t="n">
        <v>0</v>
      </c>
      <c r="C4" s="10" t="inlineStr">
        <is>
          <t>CJ Dropshipping Shopify app: no subscription fee (cjdropshipping.com blog and revenuegeeks, 2026, via snippet). If Zendrop is used instead, enter 29 (1 to 20 linked products) or 49 (21 to 100 products, usage-based billing per support.zendrop.com).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</row>
    <row r="5">
      <c r="A5" s="8" t="inlineStr">
        <is>
          <t>Payment processing rate</t>
        </is>
      </c>
      <c r="B5" s="12" t="n">
        <v>0.029</v>
      </c>
      <c r="C5" s="10" t="inlineStr">
        <is>
          <t>2.9% per the brief (Shopify Payments Basic online rate, confirm on shopify.com/pricing)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>
      <c r="A6" s="8" t="inlineStr">
        <is>
          <t>Payment processing fixed ($)</t>
        </is>
      </c>
      <c r="B6" s="11" t="n">
        <v>0.3</v>
      </c>
      <c r="C6" s="10" t="inlineStr">
        <is>
          <t>$0.30 per the brief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r="7">
      <c r="A7" s="8" t="inlineStr">
        <is>
          <t>Return allowance (share of price)</t>
        </is>
      </c>
      <c r="B7" s="12" t="n">
        <v>0.08</v>
      </c>
      <c r="C7" s="10" t="inlineStr">
        <is>
          <t>8% of sale price per the brief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>
      <c r="A8" s="8" t="inlineStr">
        <is>
          <t>Packaging per order ($)</t>
        </is>
      </c>
      <c r="B8" s="11" t="n">
        <v>0.5</v>
      </c>
      <c r="C8" s="10" t="inlineStr">
        <is>
          <t>CJ US warehouse ships in its own unbranded mailer at no extra fee (revenuegeeks CJ pricing page via snippet); $0.50 covers an insert card or tissue. Confirm on cjdropshipping.com/service-fee.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r="9">
      <c r="A9" s="8" t="inlineStr">
        <is>
          <t>CAC scenario 2 ($ per order)</t>
        </is>
      </c>
      <c r="B9" s="11" t="n">
        <v>5</v>
      </c>
      <c r="C9" s="10" t="inlineStr">
        <is>
          <t>$5 CAC scenario per the brief; scenario 1 is $0 (Pinterest and email traffic)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8" t="inlineStr">
        <is>
          <t>Margin floor at $0 CAC</t>
        </is>
      </c>
      <c r="B10" s="13" t="n">
        <v>0.45</v>
      </c>
      <c r="C10" s="10" t="inlineStr">
        <is>
          <t>45% per the brief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>
      <c r="A11" s="8" t="inlineStr">
        <is>
          <t>Margin floor at $5 CAC</t>
        </is>
      </c>
      <c r="B11" s="13" t="n">
        <v>0.25</v>
      </c>
      <c r="C11" s="10" t="inlineStr">
        <is>
          <t>25% per the brief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>
      <c r="A12" s="8" t="inlineStr">
        <is>
          <t>Price band: core ceiling ($)</t>
        </is>
      </c>
      <c r="B12" s="11" t="n">
        <v>50</v>
      </c>
      <c r="C12" s="10" t="inlineStr">
        <is>
          <t>Pink Finds price bands: the growth plan copy in the repo names no dollar bands, so the factory's price rule is used (section 3: mostly under $50, one splurge per look; window 5: 'under 25' gift guides). Flagged in REPORT.md.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>
      <c r="A13" s="8" t="inlineStr">
        <is>
          <t>Price band: splurge ceiling ($)</t>
        </is>
      </c>
      <c r="B13" s="11" t="n">
        <v>79</v>
      </c>
      <c r="C13" s="10" t="inlineStr">
        <is>
          <t>one splurge allowed per look (factory section 3)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>
      <c r="A15" s="7" t="inlineStr">
        <is>
          <t>Fixed monthly cost ($) = platform + app</t>
        </is>
      </c>
      <c r="B15" s="14">
        <f>B3+B4</f>
        <v>39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>
      <c r="A16" s="7" t="inlineStr">
        <is>
          <t>Fee share per order ($) = fixed / orders</t>
        </is>
      </c>
      <c r="B16" s="14">
        <f>B15/B2</f>
        <v>1.3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10" t="inlineStr">
        <is>
          <t>Sales tax: collected at checkout from the buyer and remitted; not a cost line. Nexus: Georgia on day one (see LEGAL_SETUP_CHECKLIST.md).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>
      <c r="A19" s="1" t="inlineStr">
        <is>
          <t>ID</t>
        </is>
      </c>
      <c r="B19" s="1" t="inlineStr">
        <is>
          <t>Product</t>
        </is>
      </c>
      <c r="C19" s="1" t="inlineStr">
        <is>
          <t>Winner supplier</t>
        </is>
      </c>
      <c r="D19" s="1" t="inlineStr">
        <is>
          <t>Warehouse</t>
        </is>
      </c>
      <c r="E19" s="1" t="inlineStr">
        <is>
          <t>Product cost ($)</t>
        </is>
      </c>
      <c r="F19" s="1" t="inlineStr">
        <is>
          <t>Inbound shipping ($)</t>
        </is>
      </c>
      <c r="G19" s="1" t="inlineStr">
        <is>
          <t>Packaging ($)</t>
        </is>
      </c>
      <c r="H19" s="1" t="inlineStr">
        <is>
          <t>Sale price ($)</t>
        </is>
      </c>
      <c r="I19" s="1" t="inlineStr">
        <is>
          <t>Payment processing ($)</t>
        </is>
      </c>
      <c r="J19" s="1" t="inlineStr">
        <is>
          <t>App fee share ($)</t>
        </is>
      </c>
      <c r="K19" s="1" t="inlineStr">
        <is>
          <t>Return allowance ($)</t>
        </is>
      </c>
      <c r="L19" s="1" t="inlineStr">
        <is>
          <t>CAC scenario 1 ($)</t>
        </is>
      </c>
      <c r="M19" s="1" t="inlineStr">
        <is>
          <t>CAC scenario 2 ($)</t>
        </is>
      </c>
      <c r="N19" s="1" t="inlineStr">
        <is>
          <t>Total cost @ $0 CAC ($)</t>
        </is>
      </c>
      <c r="O19" s="1" t="inlineStr">
        <is>
          <t>Gross margin $ @ $0 CAC</t>
        </is>
      </c>
      <c r="P19" s="1" t="inlineStr">
        <is>
          <t>Gross margin % @ $0 CAC</t>
        </is>
      </c>
      <c r="Q19" s="1" t="inlineStr">
        <is>
          <t>Gross margin $ @ $5 CAC</t>
        </is>
      </c>
      <c r="R19" s="1" t="inlineStr">
        <is>
          <t>Gross margin % @ $5 CAC</t>
        </is>
      </c>
      <c r="S19" s="1" t="inlineStr">
        <is>
          <t>Break-even units/month</t>
        </is>
      </c>
      <c r="T19" s="1" t="inlineStr">
        <is>
          <t>Passes floors?</t>
        </is>
      </c>
      <c r="U19" s="1" t="inlineStr">
        <is>
          <t>Free shipping folded in?</t>
        </is>
      </c>
      <c r="V19" s="1" t="inlineStr">
        <is>
          <t>Price band</t>
        </is>
      </c>
      <c r="W19" s="1" t="inlineStr">
        <is>
          <t>Band OK?</t>
        </is>
      </c>
      <c r="X19" s="1" t="inlineStr">
        <is>
          <t>Verified?</t>
        </is>
      </c>
    </row>
    <row r="20">
      <c r="A20" s="15" t="inlineStr">
        <is>
          <t>Q01</t>
        </is>
      </c>
      <c r="B20" s="15" t="inlineStr">
        <is>
          <t>Fluffy pink bunny ears headband</t>
        </is>
      </c>
      <c r="C20" s="15" t="inlineStr">
        <is>
          <t>CJ Dropshipping (US warehouse filter)</t>
        </is>
      </c>
      <c r="D20" s="15" t="inlineStr">
        <is>
          <t>US (NJ or CA)</t>
        </is>
      </c>
      <c r="E20" s="16" t="n">
        <v>7.7</v>
      </c>
      <c r="F20" s="16" t="n">
        <v>4.5</v>
      </c>
      <c r="G20" s="17">
        <f>$B$8</f>
        <v>0.5</v>
      </c>
      <c r="H20" s="18" t="n">
        <v>32.99</v>
      </c>
      <c r="I20" s="17">
        <f>H20*$B$5+$B$6</f>
        <v>1.25671</v>
      </c>
      <c r="J20" s="17">
        <f>$B$16</f>
        <v>1.3</v>
      </c>
      <c r="K20" s="17">
        <f>H20*$B$7</f>
        <v>2.6392</v>
      </c>
      <c r="L20" s="17" t="n">
        <v>0</v>
      </c>
      <c r="M20" s="17">
        <f>$B$9</f>
        <v>5</v>
      </c>
      <c r="N20" s="17">
        <f>E20+F20+G20+I20+J20+K20+L20</f>
        <v>17.89591</v>
      </c>
      <c r="O20" s="17">
        <f>H20-N20</f>
        <v>15.094090000000001</v>
      </c>
      <c r="P20" s="19">
        <f>IF(H20=0,0,O20/H20)</f>
        <v>0.4575353137314338</v>
      </c>
      <c r="Q20" s="17">
        <f>O20-M20</f>
        <v>10.094090000000001</v>
      </c>
      <c r="R20" s="19">
        <f>IF(H20=0,0,Q20/H20)</f>
        <v>0.3059742346165505</v>
      </c>
      <c r="S20" s="15">
        <f>IF((H20-E20-F20-G20-I20-K20)&lt;=0,"never",ROUNDUP($B$15/(H20-E20-F20-G20-I20-K20),0))</f>
        <v>3</v>
      </c>
      <c r="T20" s="15" t="str">
        <f>IF(AND(P20&gt;=$B$10,R20&gt;=$B$11),"PASS","KILL")</f>
        <v>PASS</v>
      </c>
      <c r="U20" s="15" t="inlineStr">
        <is>
          <t>yes, folded into price</t>
        </is>
      </c>
      <c r="V20" s="15" t="inlineStr">
        <is>
          <t>core (under $50)</t>
        </is>
      </c>
      <c r="W20" s="15" t="str">
        <f>IF(H20&lt;=$B$12,"core",IF(H20&lt;=$B$13,"splurge","OUT OF BAND"))</f>
        <v>core</v>
      </c>
      <c r="X20" s="15" t="inlineStr">
        <is>
          <t>estimate: cost = 40% of the US retail seen (Zendrop guide ratio $8 to $12 product on $25 retail); confirm on cjdropshipping.com</t>
        </is>
      </c>
    </row>
    <row r="21">
      <c r="A21" s="15" t="inlineStr">
        <is>
          <t>Q02</t>
        </is>
      </c>
      <c r="B21" s="15" t="inlineStr">
        <is>
          <t>Pink velvet pumpkins, set of 12</t>
        </is>
      </c>
      <c r="C21" s="15" t="inlineStr">
        <is>
          <t>CJ Dropshipping (US warehouse filter)</t>
        </is>
      </c>
      <c r="D21" s="15" t="inlineStr">
        <is>
          <t>US (NJ or CA)</t>
        </is>
      </c>
      <c r="E21" s="16" t="n">
        <v>8</v>
      </c>
      <c r="F21" s="16" t="n">
        <v>5.5</v>
      </c>
      <c r="G21" s="17">
        <f>$B$8</f>
        <v>0.5</v>
      </c>
      <c r="H21" s="18" t="n">
        <v>35.99</v>
      </c>
      <c r="I21" s="17">
        <f>H21*$B$5+$B$6</f>
        <v>1.3437100000000002</v>
      </c>
      <c r="J21" s="17">
        <f>$B$16</f>
        <v>1.3</v>
      </c>
      <c r="K21" s="17">
        <f>H21*$B$7</f>
        <v>2.8792000000000004</v>
      </c>
      <c r="L21" s="17" t="n">
        <v>0</v>
      </c>
      <c r="M21" s="17">
        <f>$B$9</f>
        <v>5</v>
      </c>
      <c r="N21" s="17">
        <f>E21+F21+G21+I21+J21+K21+L21</f>
        <v>19.52291</v>
      </c>
      <c r="O21" s="17">
        <f>H21-N21</f>
        <v>16.467090000000002</v>
      </c>
      <c r="P21" s="19">
        <f>IF(H21=0,0,O21/H21)</f>
        <v>0.4575462628507919</v>
      </c>
      <c r="Q21" s="17">
        <f>O21-M21</f>
        <v>11.467090000000002</v>
      </c>
      <c r="R21" s="19">
        <f>IF(H21=0,0,Q21/H21)</f>
        <v>0.3186187829952765</v>
      </c>
      <c r="S21" s="15">
        <f>IF((H21-E21-F21-G21-I21-K21)&lt;=0,"never",ROUNDUP($B$15/(H21-E21-F21-G21-I21-K21),0))</f>
        <v>3</v>
      </c>
      <c r="T21" s="15" t="str">
        <f>IF(AND(P21&gt;=$B$10,R21&gt;=$B$11),"PASS","KILL")</f>
        <v>PASS</v>
      </c>
      <c r="U21" s="15" t="inlineStr">
        <is>
          <t>yes, folded into price</t>
        </is>
      </c>
      <c r="V21" s="15" t="inlineStr">
        <is>
          <t>core (under $50)</t>
        </is>
      </c>
      <c r="W21" s="15" t="str">
        <f>IF(H21&lt;=$B$12,"core",IF(H21&lt;=$B$13,"splurge","OUT OF BAND"))</f>
        <v>core</v>
      </c>
      <c r="X21" s="15" t="inlineStr">
        <is>
          <t>estimate: cost = 40% of the US retail seen (Zendrop guide ratio $8 to $12 product on $25 retail); confirm on cjdropshipping.com</t>
        </is>
      </c>
    </row>
    <row r="22">
      <c r="A22" s="15" t="inlineStr">
        <is>
          <t>Q03</t>
        </is>
      </c>
      <c r="B22" s="15" t="inlineStr">
        <is>
          <t>Pink faux fur throw blanket, 50 by 60</t>
        </is>
      </c>
      <c r="C22" s="15" t="inlineStr">
        <is>
          <t>CJ Dropshipping (US warehouse filter)</t>
        </is>
      </c>
      <c r="D22" s="15" t="inlineStr">
        <is>
          <t>US (NJ or CA)</t>
        </is>
      </c>
      <c r="E22" s="16" t="n">
        <v>12</v>
      </c>
      <c r="F22" s="16" t="n">
        <v>8.15</v>
      </c>
      <c r="G22" s="17">
        <f>$B$8</f>
        <v>0.5</v>
      </c>
      <c r="H22" s="18" t="n">
        <v>50.99</v>
      </c>
      <c r="I22" s="17">
        <f>H22*$B$5+$B$6</f>
        <v>1.7787100000000002</v>
      </c>
      <c r="J22" s="17">
        <f>$B$16</f>
        <v>1.3</v>
      </c>
      <c r="K22" s="17">
        <f>H22*$B$7</f>
        <v>4.0792</v>
      </c>
      <c r="L22" s="17" t="n">
        <v>0</v>
      </c>
      <c r="M22" s="17">
        <f>$B$9</f>
        <v>5</v>
      </c>
      <c r="N22" s="17">
        <f>E22+F22+G22+I22+J22+K22+L22</f>
        <v>27.80791</v>
      </c>
      <c r="O22" s="17">
        <f>H22-N22</f>
        <v>23.182090000000002</v>
      </c>
      <c r="P22" s="19">
        <f>IF(H22=0,0,O22/H22)</f>
        <v>0.4546399293979212</v>
      </c>
      <c r="Q22" s="17">
        <f>O22-M22</f>
        <v>18.182090000000002</v>
      </c>
      <c r="R22" s="19">
        <f>IF(H22=0,0,Q22/H22)</f>
        <v>0.35658148656599337</v>
      </c>
      <c r="S22" s="15">
        <f>IF((H22-E22-F22-G22-I22-K22)&lt;=0,"never",ROUNDUP($B$15/(H22-E22-F22-G22-I22-K22),0))</f>
        <v>2</v>
      </c>
      <c r="T22" s="15" t="str">
        <f>IF(AND(P22&gt;=$B$10,R22&gt;=$B$11),"PASS","KILL")</f>
        <v>PASS</v>
      </c>
      <c r="U22" s="15" t="inlineStr">
        <is>
          <t>yes, folded into price</t>
        </is>
      </c>
      <c r="V22" s="15" t="inlineStr">
        <is>
          <t>splurge (one per look)</t>
        </is>
      </c>
      <c r="W22" s="15" t="str">
        <f>IF(H22&lt;=$B$12,"core",IF(H22&lt;=$B$13,"splurge","OUT OF BAND"))</f>
        <v>splurge</v>
      </c>
      <c r="X22" s="15" t="inlineStr">
        <is>
          <t>estimate: cost = 40% of the US retail seen (Zendrop guide ratio $8 to $12 product on $25 retail); confirm on cjdropshipping.com</t>
        </is>
      </c>
    </row>
    <row r="23">
      <c r="A23" s="15" t="inlineStr">
        <is>
          <t>Q04</t>
        </is>
      </c>
      <c r="B23" s="15" t="inlineStr">
        <is>
          <t>Pink velvet throw pillow covers, pair</t>
        </is>
      </c>
      <c r="C23" s="15" t="inlineStr">
        <is>
          <t>CJ Dropshipping (US warehouse filter)</t>
        </is>
      </c>
      <c r="D23" s="15" t="inlineStr">
        <is>
          <t>US (NJ or CA)</t>
        </is>
      </c>
      <c r="E23" s="16" t="n">
        <v>6</v>
      </c>
      <c r="F23" s="16" t="n">
        <v>4.5</v>
      </c>
      <c r="G23" s="17">
        <f>$B$8</f>
        <v>0.5</v>
      </c>
      <c r="H23" s="18" t="n">
        <v>28.99</v>
      </c>
      <c r="I23" s="17">
        <f>H23*$B$5+$B$6</f>
        <v>1.14071</v>
      </c>
      <c r="J23" s="17">
        <f>$B$16</f>
        <v>1.3</v>
      </c>
      <c r="K23" s="17">
        <f>H23*$B$7</f>
        <v>2.3192</v>
      </c>
      <c r="L23" s="17" t="n">
        <v>0</v>
      </c>
      <c r="M23" s="17">
        <f>$B$9</f>
        <v>5</v>
      </c>
      <c r="N23" s="17">
        <f>E23+F23+G23+I23+J23+K23+L23</f>
        <v>15.759910000000001</v>
      </c>
      <c r="O23" s="17">
        <f>H23-N23</f>
        <v>13.230089999999997</v>
      </c>
      <c r="P23" s="19">
        <f>IF(H23=0,0,O23/H23)</f>
        <v>0.4563673680579509</v>
      </c>
      <c r="Q23" s="17">
        <f>O23-M23</f>
        <v>8.230089999999997</v>
      </c>
      <c r="R23" s="19">
        <f>IF(H23=0,0,Q23/H23)</f>
        <v>0.2838941014142807</v>
      </c>
      <c r="S23" s="15">
        <f>IF((H23-E23-F23-G23-I23-K23)&lt;=0,"never",ROUNDUP($B$15/(H23-E23-F23-G23-I23-K23),0))</f>
        <v>3</v>
      </c>
      <c r="T23" s="15" t="str">
        <f>IF(AND(P23&gt;=$B$10,R23&gt;=$B$11),"PASS","KILL")</f>
        <v>PASS</v>
      </c>
      <c r="U23" s="15" t="inlineStr">
        <is>
          <t>yes, folded into price</t>
        </is>
      </c>
      <c r="V23" s="15" t="inlineStr">
        <is>
          <t>core (under $50)</t>
        </is>
      </c>
      <c r="W23" s="15" t="str">
        <f>IF(H23&lt;=$B$12,"core",IF(H23&lt;=$B$13,"splurge","OUT OF BAND"))</f>
        <v>core</v>
      </c>
      <c r="X23" s="15" t="inlineStr">
        <is>
          <t>estimate: cost = 40% of the US retail seen (Zendrop guide ratio $8 to $12 product on $25 retail); confirm on cjdropshipping.com</t>
        </is>
      </c>
    </row>
    <row r="24">
      <c r="A24" s="15" t="inlineStr">
        <is>
          <t>Q05</t>
        </is>
      </c>
      <c r="B24" s="15" t="inlineStr">
        <is>
          <t>Pink reusable party cups, 16 oz pack</t>
        </is>
      </c>
      <c r="C24" s="15" t="inlineStr">
        <is>
          <t>CJ Dropshipping (US warehouse filter)</t>
        </is>
      </c>
      <c r="D24" s="15" t="inlineStr">
        <is>
          <t>US (NJ or CA)</t>
        </is>
      </c>
      <c r="E24" s="16" t="n">
        <v>10.4</v>
      </c>
      <c r="F24" s="16" t="n">
        <v>5.5</v>
      </c>
      <c r="G24" s="17">
        <f>$B$8</f>
        <v>0.5</v>
      </c>
      <c r="H24" s="18" t="n">
        <v>40.99</v>
      </c>
      <c r="I24" s="17">
        <f>H24*$B$5+$B$6</f>
        <v>1.4887100000000002</v>
      </c>
      <c r="J24" s="17">
        <f>$B$16</f>
        <v>1.3</v>
      </c>
      <c r="K24" s="17">
        <f>H24*$B$7</f>
        <v>3.2792000000000003</v>
      </c>
      <c r="L24" s="17" t="n">
        <v>0</v>
      </c>
      <c r="M24" s="17">
        <f>$B$9</f>
        <v>5</v>
      </c>
      <c r="N24" s="17">
        <f>E24+F24+G24+I24+J24+K24+L24</f>
        <v>22.46791</v>
      </c>
      <c r="O24" s="17">
        <f>H24-N24</f>
        <v>18.522090000000002</v>
      </c>
      <c r="P24" s="19">
        <f>IF(H24=0,0,O24/H24)</f>
        <v>0.45186850451329597</v>
      </c>
      <c r="Q24" s="17">
        <f>O24-M24</f>
        <v>13.522090000000002</v>
      </c>
      <c r="R24" s="19">
        <f>IF(H24=0,0,Q24/H24)</f>
        <v>0.3298875335447671</v>
      </c>
      <c r="S24" s="15">
        <f>IF((H24-E24-F24-G24-I24-K24)&lt;=0,"never",ROUNDUP($B$15/(H24-E24-F24-G24-I24-K24),0))</f>
        <v>2</v>
      </c>
      <c r="T24" s="15" t="str">
        <f>IF(AND(P24&gt;=$B$10,R24&gt;=$B$11),"PASS","KILL")</f>
        <v>PASS</v>
      </c>
      <c r="U24" s="15" t="inlineStr">
        <is>
          <t>yes, folded into price</t>
        </is>
      </c>
      <c r="V24" s="15" t="inlineStr">
        <is>
          <t>core (under $50)</t>
        </is>
      </c>
      <c r="W24" s="15" t="str">
        <f>IF(H24&lt;=$B$12,"core",IF(H24&lt;=$B$13,"splurge","OUT OF BAND"))</f>
        <v>core</v>
      </c>
      <c r="X24" s="15" t="inlineStr">
        <is>
          <t>estimate: cost = 40% of the US retail seen (Zendrop guide ratio $8 to $12 product on $25 retail); confirm on cjdropshipping.com</t>
        </is>
      </c>
    </row>
    <row r="25">
      <c r="A25" s="15" t="inlineStr">
        <is>
          <t>Q06</t>
        </is>
      </c>
      <c r="B25" s="15" t="inlineStr">
        <is>
          <t>Pink velvet Christmas tree bows, 24 pack</t>
        </is>
      </c>
      <c r="C25" s="15" t="inlineStr">
        <is>
          <t>CJ Dropshipping (US warehouse filter)</t>
        </is>
      </c>
      <c r="D25" s="15" t="inlineStr">
        <is>
          <t>US (NJ or CA)</t>
        </is>
      </c>
      <c r="E25" s="16" t="n">
        <v>7</v>
      </c>
      <c r="F25" s="16" t="n">
        <v>5.5</v>
      </c>
      <c r="G25" s="17">
        <f>$B$8</f>
        <v>0.5</v>
      </c>
      <c r="H25" s="18" t="n">
        <v>33.99</v>
      </c>
      <c r="I25" s="17">
        <f>H25*$B$5+$B$6</f>
        <v>1.2857100000000001</v>
      </c>
      <c r="J25" s="17">
        <f>$B$16</f>
        <v>1.3</v>
      </c>
      <c r="K25" s="17">
        <f>H25*$B$7</f>
        <v>2.7192000000000003</v>
      </c>
      <c r="L25" s="17" t="n">
        <v>0</v>
      </c>
      <c r="M25" s="17">
        <f>$B$9</f>
        <v>5</v>
      </c>
      <c r="N25" s="17">
        <f>E25+F25+G25+I25+J25+K25+L25</f>
        <v>18.30491</v>
      </c>
      <c r="O25" s="17">
        <f>H25-N25</f>
        <v>15.685090000000002</v>
      </c>
      <c r="P25" s="19">
        <f>IF(H25=0,0,O25/H25)</f>
        <v>0.461461900558988</v>
      </c>
      <c r="Q25" s="17">
        <f>O25-M25</f>
        <v>10.685090000000002</v>
      </c>
      <c r="R25" s="19">
        <f>IF(H25=0,0,Q25/H25)</f>
        <v>0.3143598117093263</v>
      </c>
      <c r="S25" s="15">
        <f>IF((H25-E25-F25-G25-I25-K25)&lt;=0,"never",ROUNDUP($B$15/(H25-E25-F25-G25-I25-K25),0))</f>
        <v>3</v>
      </c>
      <c r="T25" s="15" t="str">
        <f>IF(AND(P25&gt;=$B$10,R25&gt;=$B$11),"PASS","KILL")</f>
        <v>PASS</v>
      </c>
      <c r="U25" s="15" t="inlineStr">
        <is>
          <t>yes, folded into price</t>
        </is>
      </c>
      <c r="V25" s="15" t="inlineStr">
        <is>
          <t>core (under $50)</t>
        </is>
      </c>
      <c r="W25" s="15" t="str">
        <f>IF(H25&lt;=$B$12,"core",IF(H25&lt;=$B$13,"splurge","OUT OF BAND"))</f>
        <v>core</v>
      </c>
      <c r="X25" s="15" t="inlineStr">
        <is>
          <t>estimate: cost = 40% of the US retail seen (Zendrop guide ratio $8 to $12 product on $25 retail); confirm on cjdropshipping.com</t>
        </is>
      </c>
    </row>
    <row r="26">
      <c r="A26" s="15" t="inlineStr">
        <is>
          <t>Q07</t>
        </is>
      </c>
      <c r="B26" s="15" t="inlineStr">
        <is>
          <t>Pink velvet bow garland, 6 ft</t>
        </is>
      </c>
      <c r="C26" s="15" t="inlineStr">
        <is>
          <t>CJ Dropshipping (US warehouse filter)</t>
        </is>
      </c>
      <c r="D26" s="15" t="inlineStr">
        <is>
          <t>US (NJ or CA)</t>
        </is>
      </c>
      <c r="E26" s="16" t="n">
        <v>8</v>
      </c>
      <c r="F26" s="16" t="n">
        <v>5.5</v>
      </c>
      <c r="G26" s="17">
        <f>$B$8</f>
        <v>0.5</v>
      </c>
      <c r="H26" s="18" t="n">
        <v>35.99</v>
      </c>
      <c r="I26" s="17">
        <f>H26*$B$5+$B$6</f>
        <v>1.3437100000000002</v>
      </c>
      <c r="J26" s="17">
        <f>$B$16</f>
        <v>1.3</v>
      </c>
      <c r="K26" s="17">
        <f>H26*$B$7</f>
        <v>2.8792000000000004</v>
      </c>
      <c r="L26" s="17" t="n">
        <v>0</v>
      </c>
      <c r="M26" s="17">
        <f>$B$9</f>
        <v>5</v>
      </c>
      <c r="N26" s="17">
        <f>E26+F26+G26+I26+J26+K26+L26</f>
        <v>19.52291</v>
      </c>
      <c r="O26" s="17">
        <f>H26-N26</f>
        <v>16.467090000000002</v>
      </c>
      <c r="P26" s="19">
        <f>IF(H26=0,0,O26/H26)</f>
        <v>0.4575462628507919</v>
      </c>
      <c r="Q26" s="17">
        <f>O26-M26</f>
        <v>11.467090000000002</v>
      </c>
      <c r="R26" s="19">
        <f>IF(H26=0,0,Q26/H26)</f>
        <v>0.3186187829952765</v>
      </c>
      <c r="S26" s="15">
        <f>IF((H26-E26-F26-G26-I26-K26)&lt;=0,"never",ROUNDUP($B$15/(H26-E26-F26-G26-I26-K26),0))</f>
        <v>3</v>
      </c>
      <c r="T26" s="15" t="str">
        <f>IF(AND(P26&gt;=$B$10,R26&gt;=$B$11),"PASS","KILL")</f>
        <v>PASS</v>
      </c>
      <c r="U26" s="15" t="inlineStr">
        <is>
          <t>yes, folded into price</t>
        </is>
      </c>
      <c r="V26" s="15" t="inlineStr">
        <is>
          <t>core (under $50)</t>
        </is>
      </c>
      <c r="W26" s="15" t="str">
        <f>IF(H26&lt;=$B$12,"core",IF(H26&lt;=$B$13,"splurge","OUT OF BAND"))</f>
        <v>core</v>
      </c>
      <c r="X26" s="15" t="inlineStr">
        <is>
          <t>estimate: cost = 40% of the US retail seen (Zendrop guide ratio $8 to $12 product on $25 retail); confirm on cjdropshipping.com</t>
        </is>
      </c>
    </row>
    <row r="27">
      <c r="A27" s="15" t="inlineStr">
        <is>
          <t>Q08</t>
        </is>
      </c>
      <c r="B27" s="15" t="inlineStr">
        <is>
          <t>Pink shatterproof ornament set, 45 pieces</t>
        </is>
      </c>
      <c r="C27" s="15" t="inlineStr">
        <is>
          <t>CJ Dropshipping (US warehouse filter)</t>
        </is>
      </c>
      <c r="D27" s="15" t="inlineStr">
        <is>
          <t>US (NJ or CA)</t>
        </is>
      </c>
      <c r="E27" s="16" t="n">
        <v>9</v>
      </c>
      <c r="F27" s="16" t="n">
        <v>8.15</v>
      </c>
      <c r="G27" s="17">
        <f>$B$8</f>
        <v>0.5</v>
      </c>
      <c r="H27" s="18" t="n">
        <v>43.99</v>
      </c>
      <c r="I27" s="17">
        <f>H27*$B$5+$B$6</f>
        <v>1.5757100000000002</v>
      </c>
      <c r="J27" s="17">
        <f>$B$16</f>
        <v>1.3</v>
      </c>
      <c r="K27" s="17">
        <f>H27*$B$7</f>
        <v>3.5192</v>
      </c>
      <c r="L27" s="17" t="n">
        <v>0</v>
      </c>
      <c r="M27" s="17">
        <f>$B$9</f>
        <v>5</v>
      </c>
      <c r="N27" s="17">
        <f>E27+F27+G27+I27+J27+K27+L27</f>
        <v>24.04491</v>
      </c>
      <c r="O27" s="17">
        <f>H27-N27</f>
        <v>19.94509</v>
      </c>
      <c r="P27" s="19">
        <f>IF(H27=0,0,O27/H27)</f>
        <v>0.4534005455785406</v>
      </c>
      <c r="Q27" s="17">
        <f>O27-M27</f>
        <v>14.94509</v>
      </c>
      <c r="R27" s="19">
        <f>IF(H27=0,0,Q27/H27)</f>
        <v>0.3397383496249147</v>
      </c>
      <c r="S27" s="15">
        <f>IF((H27-E27-F27-G27-I27-K27)&lt;=0,"never",ROUNDUP($B$15/(H27-E27-F27-G27-I27-K27),0))</f>
        <v>2</v>
      </c>
      <c r="T27" s="15" t="str">
        <f>IF(AND(P27&gt;=$B$10,R27&gt;=$B$11),"PASS","KILL")</f>
        <v>PASS</v>
      </c>
      <c r="U27" s="15" t="inlineStr">
        <is>
          <t>yes, folded into price</t>
        </is>
      </c>
      <c r="V27" s="15" t="inlineStr">
        <is>
          <t>core (under $50)</t>
        </is>
      </c>
      <c r="W27" s="15" t="str">
        <f>IF(H27&lt;=$B$12,"core",IF(H27&lt;=$B$13,"splurge","OUT OF BAND"))</f>
        <v>core</v>
      </c>
      <c r="X27" s="15" t="inlineStr">
        <is>
          <t>estimate: cost = 40% of the US retail seen (Zendrop guide ratio $8 to $12 product on $25 retail); confirm on cjdropshipping.com</t>
        </is>
      </c>
    </row>
    <row r="28">
      <c r="A28" s="15" t="inlineStr">
        <is>
          <t>Q09</t>
        </is>
      </c>
      <c r="B28" s="15" t="inlineStr">
        <is>
          <t>Pink velvet Christmas stocking with bow</t>
        </is>
      </c>
      <c r="C28" s="15" t="inlineStr">
        <is>
          <t>CJ Dropshipping (US warehouse filter)</t>
        </is>
      </c>
      <c r="D28" s="15" t="inlineStr">
        <is>
          <t>US (NJ or CA)</t>
        </is>
      </c>
      <c r="E28" s="16" t="n">
        <v>5</v>
      </c>
      <c r="F28" s="16" t="n">
        <v>4.5</v>
      </c>
      <c r="G28" s="17">
        <f>$B$8</f>
        <v>0.5</v>
      </c>
      <c r="H28" s="18" t="n">
        <v>26.99</v>
      </c>
      <c r="I28" s="17">
        <f>H28*$B$5+$B$6</f>
        <v>1.08271</v>
      </c>
      <c r="J28" s="17">
        <f>$B$16</f>
        <v>1.3</v>
      </c>
      <c r="K28" s="17">
        <f>H28*$B$7</f>
        <v>2.1592</v>
      </c>
      <c r="L28" s="17" t="n">
        <v>0</v>
      </c>
      <c r="M28" s="17">
        <f>$B$9</f>
        <v>5</v>
      </c>
      <c r="N28" s="17">
        <f>E28+F28+G28+I28+J28+K28+L28</f>
        <v>14.541910000000001</v>
      </c>
      <c r="O28" s="17">
        <f>H28-N28</f>
        <v>12.448089999999997</v>
      </c>
      <c r="P28" s="19">
        <f>IF(H28=0,0,O28/H28)</f>
        <v>0.46121118932938115</v>
      </c>
      <c r="Q28" s="17">
        <f>O28-M28</f>
        <v>7.448089999999997</v>
      </c>
      <c r="R28" s="19">
        <f>IF(H28=0,0,Q28/H28)</f>
        <v>0.27595739162652827</v>
      </c>
      <c r="S28" s="15">
        <f>IF((H28-E28-F28-G28-I28-K28)&lt;=0,"never",ROUNDUP($B$15/(H28-E28-F28-G28-I28-K28),0))</f>
        <v>3</v>
      </c>
      <c r="T28" s="15" t="str">
        <f>IF(AND(P28&gt;=$B$10,R28&gt;=$B$11),"PASS","KILL")</f>
        <v>PASS</v>
      </c>
      <c r="U28" s="15" t="inlineStr">
        <is>
          <t>yes, folded into price</t>
        </is>
      </c>
      <c r="V28" s="15" t="inlineStr">
        <is>
          <t>core (under $50)</t>
        </is>
      </c>
      <c r="W28" s="15" t="str">
        <f>IF(H28&lt;=$B$12,"core",IF(H28&lt;=$B$13,"splurge","OUT OF BAND"))</f>
        <v>core</v>
      </c>
      <c r="X28" s="15" t="inlineStr">
        <is>
          <t>estimate: cost = 40% of the US retail seen (Zendrop guide ratio $8 to $12 product on $25 retail); confirm on cjdropshipping.com</t>
        </is>
      </c>
    </row>
    <row r="29">
      <c r="A29" s="15" t="inlineStr">
        <is>
          <t>Q10</t>
        </is>
      </c>
      <c r="B29" s="15" t="inlineStr">
        <is>
          <t>Pink flocked tabletop Christmas tree, 2 ft, unlit</t>
        </is>
      </c>
      <c r="C29" s="15" t="inlineStr">
        <is>
          <t>CJ Dropshipping (US warehouse filter)</t>
        </is>
      </c>
      <c r="D29" s="15" t="inlineStr">
        <is>
          <t>US (NJ or CA)</t>
        </is>
      </c>
      <c r="E29" s="16" t="n">
        <v>12</v>
      </c>
      <c r="F29" s="16" t="n">
        <v>8.15</v>
      </c>
      <c r="G29" s="17">
        <f>$B$8</f>
        <v>0.5</v>
      </c>
      <c r="H29" s="18" t="n">
        <v>50.99</v>
      </c>
      <c r="I29" s="17">
        <f>H29*$B$5+$B$6</f>
        <v>1.7787100000000002</v>
      </c>
      <c r="J29" s="17">
        <f>$B$16</f>
        <v>1.3</v>
      </c>
      <c r="K29" s="17">
        <f>H29*$B$7</f>
        <v>4.0792</v>
      </c>
      <c r="L29" s="17" t="n">
        <v>0</v>
      </c>
      <c r="M29" s="17">
        <f>$B$9</f>
        <v>5</v>
      </c>
      <c r="N29" s="17">
        <f>E29+F29+G29+I29+J29+K29+L29</f>
        <v>27.80791</v>
      </c>
      <c r="O29" s="17">
        <f>H29-N29</f>
        <v>23.182090000000002</v>
      </c>
      <c r="P29" s="19">
        <f>IF(H29=0,0,O29/H29)</f>
        <v>0.4546399293979212</v>
      </c>
      <c r="Q29" s="17">
        <f>O29-M29</f>
        <v>18.182090000000002</v>
      </c>
      <c r="R29" s="19">
        <f>IF(H29=0,0,Q29/H29)</f>
        <v>0.35658148656599337</v>
      </c>
      <c r="S29" s="15">
        <f>IF((H29-E29-F29-G29-I29-K29)&lt;=0,"never",ROUNDUP($B$15/(H29-E29-F29-G29-I29-K29),0))</f>
        <v>2</v>
      </c>
      <c r="T29" s="15" t="str">
        <f>IF(AND(P29&gt;=$B$10,R29&gt;=$B$11),"PASS","KILL")</f>
        <v>PASS</v>
      </c>
      <c r="U29" s="15" t="inlineStr">
        <is>
          <t>yes, folded into price</t>
        </is>
      </c>
      <c r="V29" s="15" t="inlineStr">
        <is>
          <t>splurge (one per look)</t>
        </is>
      </c>
      <c r="W29" s="15" t="str">
        <f>IF(H29&lt;=$B$12,"core",IF(H29&lt;=$B$13,"splurge","OUT OF BAND"))</f>
        <v>splurge</v>
      </c>
      <c r="X29" s="15" t="inlineStr">
        <is>
          <t>estimate: cost = 40% of the US retail seen (Zendrop guide ratio $8 to $12 product on $25 retail); confirm on cjdropshipping.com</t>
        </is>
      </c>
    </row>
    <row r="30">
      <c r="A30" s="15" t="inlineStr">
        <is>
          <t>Q11</t>
        </is>
      </c>
      <c r="B30" s="15" t="inlineStr">
        <is>
          <t>Pink 40 oz insulated tumbler with handle and straw</t>
        </is>
      </c>
      <c r="C30" s="15" t="inlineStr">
        <is>
          <t>CJ Dropshipping (US warehouse filter)</t>
        </is>
      </c>
      <c r="D30" s="15" t="inlineStr">
        <is>
          <t>US (NJ or CA)</t>
        </is>
      </c>
      <c r="E30" s="16" t="n">
        <v>9</v>
      </c>
      <c r="F30" s="16" t="n">
        <v>8.15</v>
      </c>
      <c r="G30" s="17">
        <f>$B$8</f>
        <v>0.5</v>
      </c>
      <c r="H30" s="18" t="n">
        <v>43.99</v>
      </c>
      <c r="I30" s="17">
        <f>H30*$B$5+$B$6</f>
        <v>1.5757100000000002</v>
      </c>
      <c r="J30" s="17">
        <f>$B$16</f>
        <v>1.3</v>
      </c>
      <c r="K30" s="17">
        <f>H30*$B$7</f>
        <v>3.5192</v>
      </c>
      <c r="L30" s="17" t="n">
        <v>0</v>
      </c>
      <c r="M30" s="17">
        <f>$B$9</f>
        <v>5</v>
      </c>
      <c r="N30" s="17">
        <f>E30+F30+G30+I30+J30+K30+L30</f>
        <v>24.04491</v>
      </c>
      <c r="O30" s="17">
        <f>H30-N30</f>
        <v>19.94509</v>
      </c>
      <c r="P30" s="19">
        <f>IF(H30=0,0,O30/H30)</f>
        <v>0.4534005455785406</v>
      </c>
      <c r="Q30" s="17">
        <f>O30-M30</f>
        <v>14.94509</v>
      </c>
      <c r="R30" s="19">
        <f>IF(H30=0,0,Q30/H30)</f>
        <v>0.3397383496249147</v>
      </c>
      <c r="S30" s="15">
        <f>IF((H30-E30-F30-G30-I30-K30)&lt;=0,"never",ROUNDUP($B$15/(H30-E30-F30-G30-I30-K30),0))</f>
        <v>2</v>
      </c>
      <c r="T30" s="15" t="str">
        <f>IF(AND(P30&gt;=$B$10,R30&gt;=$B$11),"PASS","KILL")</f>
        <v>PASS</v>
      </c>
      <c r="U30" s="15" t="inlineStr">
        <is>
          <t>yes, folded into price</t>
        </is>
      </c>
      <c r="V30" s="15" t="inlineStr">
        <is>
          <t>core (under $50)</t>
        </is>
      </c>
      <c r="W30" s="15" t="str">
        <f>IF(H30&lt;=$B$12,"core",IF(H30&lt;=$B$13,"splurge","OUT OF BAND"))</f>
        <v>core</v>
      </c>
      <c r="X30" s="15" t="inlineStr">
        <is>
          <t>listing found via search; price not visible in snippet, cost is an estimate; confirm on cjdropshipping.com</t>
        </is>
      </c>
    </row>
    <row r="31">
      <c r="A31" s="15" t="inlineStr">
        <is>
          <t>Q12</t>
        </is>
      </c>
      <c r="B31" s="15" t="inlineStr">
        <is>
          <t>Pink velvet jewelry box with lock</t>
        </is>
      </c>
      <c r="C31" s="15" t="inlineStr">
        <is>
          <t>CJ Dropshipping (US warehouse filter)</t>
        </is>
      </c>
      <c r="D31" s="15" t="inlineStr">
        <is>
          <t>US (NJ or CA)</t>
        </is>
      </c>
      <c r="E31" s="16" t="n">
        <v>10</v>
      </c>
      <c r="F31" s="16" t="n">
        <v>5.5</v>
      </c>
      <c r="G31" s="17">
        <f>$B$8</f>
        <v>0.5</v>
      </c>
      <c r="H31" s="18" t="n">
        <v>39.99</v>
      </c>
      <c r="I31" s="17">
        <f>H31*$B$5+$B$6</f>
        <v>1.45971</v>
      </c>
      <c r="J31" s="17">
        <f>$B$16</f>
        <v>1.3</v>
      </c>
      <c r="K31" s="17">
        <f>H31*$B$7</f>
        <v>3.1992000000000003</v>
      </c>
      <c r="L31" s="17" t="n">
        <v>0</v>
      </c>
      <c r="M31" s="17">
        <f>$B$9</f>
        <v>5</v>
      </c>
      <c r="N31" s="17">
        <f>E31+F31+G31+I31+J31+K31+L31</f>
        <v>21.958910000000003</v>
      </c>
      <c r="O31" s="17">
        <f>H31-N31</f>
        <v>18.03109</v>
      </c>
      <c r="P31" s="19">
        <f>IF(H31=0,0,O31/H31)</f>
        <v>0.45088997249312324</v>
      </c>
      <c r="Q31" s="17">
        <f>O31-M31</f>
        <v>13.031089999999999</v>
      </c>
      <c r="R31" s="19">
        <f>IF(H31=0,0,Q31/H31)</f>
        <v>0.3258587146786696</v>
      </c>
      <c r="S31" s="15">
        <f>IF((H31-E31-F31-G31-I31-K31)&lt;=0,"never",ROUNDUP($B$15/(H31-E31-F31-G31-I31-K31),0))</f>
        <v>3</v>
      </c>
      <c r="T31" s="15" t="str">
        <f>IF(AND(P31&gt;=$B$10,R31&gt;=$B$11),"PASS","KILL")</f>
        <v>PASS</v>
      </c>
      <c r="U31" s="15" t="inlineStr">
        <is>
          <t>yes, folded into price</t>
        </is>
      </c>
      <c r="V31" s="15" t="inlineStr">
        <is>
          <t>core (under $50)</t>
        </is>
      </c>
      <c r="W31" s="15" t="str">
        <f>IF(H31&lt;=$B$12,"core",IF(H31&lt;=$B$13,"splurge","OUT OF BAND"))</f>
        <v>core</v>
      </c>
      <c r="X31" s="15" t="inlineStr">
        <is>
          <t>estimate: cost = 40% of the US retail seen (Zendrop guide ratio $8 to $12 product on $25 retail); confirm on cjdropshipping.com</t>
        </is>
      </c>
    </row>
    <row r="32">
      <c r="A32" s="15" t="inlineStr">
        <is>
          <t>Q13</t>
        </is>
      </c>
      <c r="B32" s="15" t="inlineStr">
        <is>
          <t>Blush pink packing cubes, 8 piece set</t>
        </is>
      </c>
      <c r="C32" s="15" t="inlineStr">
        <is>
          <t>CJ Dropshipping (US warehouse filter)</t>
        </is>
      </c>
      <c r="D32" s="15" t="inlineStr">
        <is>
          <t>US (NJ or CA)</t>
        </is>
      </c>
      <c r="E32" s="16" t="n">
        <v>8</v>
      </c>
      <c r="F32" s="16" t="n">
        <v>5.5</v>
      </c>
      <c r="G32" s="17">
        <f>$B$8</f>
        <v>0.5</v>
      </c>
      <c r="H32" s="18" t="n">
        <v>35.99</v>
      </c>
      <c r="I32" s="17">
        <f>H32*$B$5+$B$6</f>
        <v>1.3437100000000002</v>
      </c>
      <c r="J32" s="17">
        <f>$B$16</f>
        <v>1.3</v>
      </c>
      <c r="K32" s="17">
        <f>H32*$B$7</f>
        <v>2.8792000000000004</v>
      </c>
      <c r="L32" s="17" t="n">
        <v>0</v>
      </c>
      <c r="M32" s="17">
        <f>$B$9</f>
        <v>5</v>
      </c>
      <c r="N32" s="17">
        <f>E32+F32+G32+I32+J32+K32+L32</f>
        <v>19.52291</v>
      </c>
      <c r="O32" s="17">
        <f>H32-N32</f>
        <v>16.467090000000002</v>
      </c>
      <c r="P32" s="19">
        <f>IF(H32=0,0,O32/H32)</f>
        <v>0.4575462628507919</v>
      </c>
      <c r="Q32" s="17">
        <f>O32-M32</f>
        <v>11.467090000000002</v>
      </c>
      <c r="R32" s="19">
        <f>IF(H32=0,0,Q32/H32)</f>
        <v>0.3186187829952765</v>
      </c>
      <c r="S32" s="15">
        <f>IF((H32-E32-F32-G32-I32-K32)&lt;=0,"never",ROUNDUP($B$15/(H32-E32-F32-G32-I32-K32),0))</f>
        <v>3</v>
      </c>
      <c r="T32" s="15" t="str">
        <f>IF(AND(P32&gt;=$B$10,R32&gt;=$B$11),"PASS","KILL")</f>
        <v>PASS</v>
      </c>
      <c r="U32" s="15" t="inlineStr">
        <is>
          <t>yes, folded into price</t>
        </is>
      </c>
      <c r="V32" s="15" t="inlineStr">
        <is>
          <t>core (under $50)</t>
        </is>
      </c>
      <c r="W32" s="15" t="str">
        <f>IF(H32&lt;=$B$12,"core",IF(H32&lt;=$B$13,"splurge","OUT OF BAND"))</f>
        <v>core</v>
      </c>
      <c r="X32" s="15" t="inlineStr">
        <is>
          <t>estimate: cost = 40% of the US retail seen (Zendrop guide ratio $8 to $12 product on $25 retail); confirm on cjdropshipping.com</t>
        </is>
      </c>
    </row>
    <row r="33">
      <c r="A33" s="15" t="inlineStr">
        <is>
          <t>Q14</t>
        </is>
      </c>
      <c r="B33" s="15" t="inlineStr">
        <is>
          <t>Pink satin sleep bonnet, adjustable</t>
        </is>
      </c>
      <c r="C33" s="15" t="inlineStr">
        <is>
          <t>CJ Dropshipping (US warehouse filter)</t>
        </is>
      </c>
      <c r="D33" s="15" t="inlineStr">
        <is>
          <t>US (NJ or CA)</t>
        </is>
      </c>
      <c r="E33" s="16" t="n">
        <v>2.5</v>
      </c>
      <c r="F33" s="16" t="n">
        <v>4.5</v>
      </c>
      <c r="G33" s="17">
        <f>$B$8</f>
        <v>0.5</v>
      </c>
      <c r="H33" s="18" t="n">
        <v>22.99</v>
      </c>
      <c r="I33" s="17">
        <f>H33*$B$5+$B$6</f>
        <v>0.96671</v>
      </c>
      <c r="J33" s="17">
        <f>$B$16</f>
        <v>1.3</v>
      </c>
      <c r="K33" s="17">
        <f>H33*$B$7</f>
        <v>1.8392</v>
      </c>
      <c r="L33" s="17" t="n">
        <v>0</v>
      </c>
      <c r="M33" s="17">
        <f>$B$9</f>
        <v>5</v>
      </c>
      <c r="N33" s="17">
        <f>E33+F33+G33+I33+J33+K33+L33</f>
        <v>11.60591</v>
      </c>
      <c r="O33" s="17">
        <f>H33-N33</f>
        <v>11.384089999999999</v>
      </c>
      <c r="P33" s="19">
        <f>IF(H33=0,0,O33/H33)</f>
        <v>0.4951757285776424</v>
      </c>
      <c r="Q33" s="17">
        <f>O33-M33</f>
        <v>6.384089999999999</v>
      </c>
      <c r="R33" s="19">
        <f>IF(H33=0,0,Q33/H33)</f>
        <v>0.27768986515876465</v>
      </c>
      <c r="S33" s="15">
        <f>IF((H33-E33-F33-G33-I33-K33)&lt;=0,"never",ROUNDUP($B$15/(H33-E33-F33-G33-I33-K33),0))</f>
        <v>4</v>
      </c>
      <c r="T33" s="15" t="str">
        <f>IF(AND(P33&gt;=$B$10,R33&gt;=$B$11),"PASS","KILL")</f>
        <v>PASS</v>
      </c>
      <c r="U33" s="15" t="inlineStr">
        <is>
          <t>yes, folded into price</t>
        </is>
      </c>
      <c r="V33" s="15" t="inlineStr">
        <is>
          <t>core (under $50)</t>
        </is>
      </c>
      <c r="W33" s="15" t="str">
        <f>IF(H33&lt;=$B$12,"core",IF(H33&lt;=$B$13,"splurge","OUT OF BAND"))</f>
        <v>core</v>
      </c>
      <c r="X33" s="15" t="inlineStr">
        <is>
          <t>listing found via search; price not visible in snippet, cost is an estimate; confirm on cjdropshipping.com</t>
        </is>
      </c>
    </row>
    <row r="34">
      <c r="A34" s="15" t="inlineStr">
        <is>
          <t>Q15</t>
        </is>
      </c>
      <c r="B34" s="15" t="inlineStr">
        <is>
          <t>Pink bow champagne flutes, set of 2</t>
        </is>
      </c>
      <c r="C34" s="15" t="inlineStr">
        <is>
          <t>CJ Dropshipping (US warehouse filter)</t>
        </is>
      </c>
      <c r="D34" s="15" t="inlineStr">
        <is>
          <t>US (NJ or CA)</t>
        </is>
      </c>
      <c r="E34" s="16" t="n">
        <v>9</v>
      </c>
      <c r="F34" s="16" t="n">
        <v>5.5</v>
      </c>
      <c r="G34" s="17">
        <f>$B$8</f>
        <v>1.5</v>
      </c>
      <c r="H34" s="18" t="n">
        <v>39.99</v>
      </c>
      <c r="I34" s="17">
        <f>H34*$B$5+$B$6</f>
        <v>1.45971</v>
      </c>
      <c r="J34" s="17">
        <f>$B$16</f>
        <v>1.3</v>
      </c>
      <c r="K34" s="17">
        <f>H34*$B$7</f>
        <v>3.1992000000000003</v>
      </c>
      <c r="L34" s="17" t="n">
        <v>0</v>
      </c>
      <c r="M34" s="17">
        <f>$B$9</f>
        <v>5</v>
      </c>
      <c r="N34" s="17">
        <f>E34+F34+G34+I34+J34+K34+L34</f>
        <v>21.958910000000003</v>
      </c>
      <c r="O34" s="17">
        <f>H34-N34</f>
        <v>18.03109</v>
      </c>
      <c r="P34" s="19">
        <f>IF(H34=0,0,O34/H34)</f>
        <v>0.45088997249312324</v>
      </c>
      <c r="Q34" s="17">
        <f>O34-M34</f>
        <v>13.031089999999999</v>
      </c>
      <c r="R34" s="19">
        <f>IF(H34=0,0,Q34/H34)</f>
        <v>0.3258587146786696</v>
      </c>
      <c r="S34" s="15">
        <f>IF((H34-E34-F34-G34-I34-K34)&lt;=0,"never",ROUNDUP($B$15/(H34-E34-F34-G34-I34-K34),0))</f>
        <v>3</v>
      </c>
      <c r="T34" s="15" t="str">
        <f>IF(AND(P34&gt;=$B$10,R34&gt;=$B$11),"PASS","KILL")</f>
        <v>PASS</v>
      </c>
      <c r="U34" s="15" t="inlineStr">
        <is>
          <t>yes, folded into price</t>
        </is>
      </c>
      <c r="V34" s="15" t="inlineStr">
        <is>
          <t>core (under $50)</t>
        </is>
      </c>
      <c r="W34" s="15" t="str">
        <f>IF(H34&lt;=$B$12,"core",IF(H34&lt;=$B$13,"splurge","OUT OF BAND"))</f>
        <v>core</v>
      </c>
      <c r="X34" s="15" t="inlineStr">
        <is>
          <t>estimate: cost = 40% of the US retail seen (Zendrop guide ratio $8 to $12 product on $25 retail); confirm on cjdropshipping.com</t>
        </is>
      </c>
    </row>
    <row r="35">
      <c r="A35" s="15" t="inlineStr">
        <is>
          <t>Q16</t>
        </is>
      </c>
      <c r="B35" s="15" t="inlineStr">
        <is>
          <t>Pink 2027 weekly and monthly planner, hardcover</t>
        </is>
      </c>
      <c r="C35" s="15" t="inlineStr">
        <is>
          <t>CJ Dropshipping (US warehouse filter)</t>
        </is>
      </c>
      <c r="D35" s="15" t="inlineStr">
        <is>
          <t>US (NJ or CA)</t>
        </is>
      </c>
      <c r="E35" s="16" t="n">
        <v>7</v>
      </c>
      <c r="F35" s="16" t="n">
        <v>5.5</v>
      </c>
      <c r="G35" s="17">
        <f>$B$8</f>
        <v>0.5</v>
      </c>
      <c r="H35" s="18" t="n">
        <v>33.99</v>
      </c>
      <c r="I35" s="17">
        <f>H35*$B$5+$B$6</f>
        <v>1.2857100000000001</v>
      </c>
      <c r="J35" s="17">
        <f>$B$16</f>
        <v>1.3</v>
      </c>
      <c r="K35" s="17">
        <f>H35*$B$7</f>
        <v>2.7192000000000003</v>
      </c>
      <c r="L35" s="17" t="n">
        <v>0</v>
      </c>
      <c r="M35" s="17">
        <f>$B$9</f>
        <v>5</v>
      </c>
      <c r="N35" s="17">
        <f>E35+F35+G35+I35+J35+K35+L35</f>
        <v>18.30491</v>
      </c>
      <c r="O35" s="17">
        <f>H35-N35</f>
        <v>15.685090000000002</v>
      </c>
      <c r="P35" s="19">
        <f>IF(H35=0,0,O35/H35)</f>
        <v>0.461461900558988</v>
      </c>
      <c r="Q35" s="17">
        <f>O35-M35</f>
        <v>10.685090000000002</v>
      </c>
      <c r="R35" s="19">
        <f>IF(H35=0,0,Q35/H35)</f>
        <v>0.3143598117093263</v>
      </c>
      <c r="S35" s="15">
        <f>IF((H35-E35-F35-G35-I35-K35)&lt;=0,"never",ROUNDUP($B$15/(H35-E35-F35-G35-I35-K35),0))</f>
        <v>3</v>
      </c>
      <c r="T35" s="15" t="str">
        <f>IF(AND(P35&gt;=$B$10,R35&gt;=$B$11),"PASS","KILL")</f>
        <v>PASS</v>
      </c>
      <c r="U35" s="15" t="inlineStr">
        <is>
          <t>yes, folded into price</t>
        </is>
      </c>
      <c r="V35" s="15" t="inlineStr">
        <is>
          <t>core (under $50)</t>
        </is>
      </c>
      <c r="W35" s="15" t="str">
        <f>IF(H35&lt;=$B$12,"core",IF(H35&lt;=$B$13,"splurge","OUT OF BAND"))</f>
        <v>core</v>
      </c>
      <c r="X35" s="15" t="inlineStr">
        <is>
          <t>estimate: cost = 40% of the US retail seen (Zendrop guide ratio $8 to $12 product on $25 retail); confirm on cjdropshipping.com</t>
        </is>
      </c>
    </row>
    <row r="36">
      <c r="A36" s="15" t="inlineStr">
        <is>
          <t>E01</t>
        </is>
      </c>
      <c r="B36" s="15" t="inlineStr">
        <is>
          <t>Pink PU leather desk mat, large</t>
        </is>
      </c>
      <c r="C36" s="15" t="inlineStr">
        <is>
          <t>CJ Dropshipping (US warehouse filter)</t>
        </is>
      </c>
      <c r="D36" s="15" t="inlineStr">
        <is>
          <t>US (NJ or CA)</t>
        </is>
      </c>
      <c r="E36" s="16" t="n">
        <v>6</v>
      </c>
      <c r="F36" s="16" t="n">
        <v>5.5</v>
      </c>
      <c r="G36" s="17">
        <f>$B$8</f>
        <v>0.5</v>
      </c>
      <c r="H36" s="18" t="n">
        <v>30.99</v>
      </c>
      <c r="I36" s="17">
        <f>H36*$B$5+$B$6</f>
        <v>1.19871</v>
      </c>
      <c r="J36" s="17">
        <f>$B$16</f>
        <v>1.3</v>
      </c>
      <c r="K36" s="17">
        <f>H36*$B$7</f>
        <v>2.4792</v>
      </c>
      <c r="L36" s="17" t="n">
        <v>0</v>
      </c>
      <c r="M36" s="17">
        <f>$B$9</f>
        <v>5</v>
      </c>
      <c r="N36" s="17">
        <f>E36+F36+G36+I36+J36+K36+L36</f>
        <v>16.97791</v>
      </c>
      <c r="O36" s="17">
        <f>H36-N36</f>
        <v>14.012089999999997</v>
      </c>
      <c r="P36" s="19">
        <f>IF(H36=0,0,O36/H36)</f>
        <v>0.45214875766376245</v>
      </c>
      <c r="Q36" s="17">
        <f>O36-M36</f>
        <v>9.012089999999997</v>
      </c>
      <c r="R36" s="19">
        <f>IF(H36=0,0,Q36/H36)</f>
        <v>0.2908063891577928</v>
      </c>
      <c r="S36" s="15">
        <f>IF((H36-E36-F36-G36-I36-K36)&lt;=0,"never",ROUNDUP($B$15/(H36-E36-F36-G36-I36-K36),0))</f>
        <v>3</v>
      </c>
      <c r="T36" s="15" t="str">
        <f>IF(AND(P36&gt;=$B$10,R36&gt;=$B$11),"PASS","KILL")</f>
        <v>PASS</v>
      </c>
      <c r="U36" s="15" t="inlineStr">
        <is>
          <t>yes, folded into price</t>
        </is>
      </c>
      <c r="V36" s="15" t="inlineStr">
        <is>
          <t>core (under $50)</t>
        </is>
      </c>
      <c r="W36" s="15" t="str">
        <f>IF(H36&lt;=$B$12,"core",IF(H36&lt;=$B$13,"splurge","OUT OF BAND"))</f>
        <v>core</v>
      </c>
      <c r="X36" s="15" t="inlineStr">
        <is>
          <t>estimate: cost = 40% of the US retail seen (Zendrop guide ratio $8 to $12 product on $25 retail); confirm on cjdropshipping.com</t>
        </is>
      </c>
    </row>
    <row r="37">
      <c r="A37" s="15" t="inlineStr">
        <is>
          <t>E02</t>
        </is>
      </c>
      <c r="B37" s="15" t="inlineStr">
        <is>
          <t>Pink acrylic desk organizer with pen cup</t>
        </is>
      </c>
      <c r="C37" s="15" t="inlineStr">
        <is>
          <t>CJ Dropshipping (US warehouse filter)</t>
        </is>
      </c>
      <c r="D37" s="15" t="inlineStr">
        <is>
          <t>US (NJ or CA)</t>
        </is>
      </c>
      <c r="E37" s="16" t="n">
        <v>6</v>
      </c>
      <c r="F37" s="16" t="n">
        <v>5.5</v>
      </c>
      <c r="G37" s="17">
        <f>$B$8</f>
        <v>0.5</v>
      </c>
      <c r="H37" s="18" t="n">
        <v>30.99</v>
      </c>
      <c r="I37" s="17">
        <f>H37*$B$5+$B$6</f>
        <v>1.19871</v>
      </c>
      <c r="J37" s="17">
        <f>$B$16</f>
        <v>1.3</v>
      </c>
      <c r="K37" s="17">
        <f>H37*$B$7</f>
        <v>2.4792</v>
      </c>
      <c r="L37" s="17" t="n">
        <v>0</v>
      </c>
      <c r="M37" s="17">
        <f>$B$9</f>
        <v>5</v>
      </c>
      <c r="N37" s="17">
        <f>E37+F37+G37+I37+J37+K37+L37</f>
        <v>16.97791</v>
      </c>
      <c r="O37" s="17">
        <f>H37-N37</f>
        <v>14.012089999999997</v>
      </c>
      <c r="P37" s="19">
        <f>IF(H37=0,0,O37/H37)</f>
        <v>0.45214875766376245</v>
      </c>
      <c r="Q37" s="17">
        <f>O37-M37</f>
        <v>9.012089999999997</v>
      </c>
      <c r="R37" s="19">
        <f>IF(H37=0,0,Q37/H37)</f>
        <v>0.2908063891577928</v>
      </c>
      <c r="S37" s="15">
        <f>IF((H37-E37-F37-G37-I37-K37)&lt;=0,"never",ROUNDUP($B$15/(H37-E37-F37-G37-I37-K37),0))</f>
        <v>3</v>
      </c>
      <c r="T37" s="15" t="str">
        <f>IF(AND(P37&gt;=$B$10,R37&gt;=$B$11),"PASS","KILL")</f>
        <v>PASS</v>
      </c>
      <c r="U37" s="15" t="inlineStr">
        <is>
          <t>yes, folded into price</t>
        </is>
      </c>
      <c r="V37" s="15" t="inlineStr">
        <is>
          <t>core (under $50)</t>
        </is>
      </c>
      <c r="W37" s="15" t="str">
        <f>IF(H37&lt;=$B$12,"core",IF(H37&lt;=$B$13,"splurge","OUT OF BAND"))</f>
        <v>core</v>
      </c>
      <c r="X37" s="15" t="inlineStr">
        <is>
          <t>estimate: cost = 40% of the US retail seen (Zendrop guide ratio $8 to $12 product on $25 retail); confirm on cjdropshipping.com</t>
        </is>
      </c>
    </row>
    <row r="38">
      <c r="A38" s="15" t="inlineStr">
        <is>
          <t>E03</t>
        </is>
      </c>
      <c r="B38" s="15" t="inlineStr">
        <is>
          <t>Pink desk stationery set (stapler, tape dispenser, scissors, clips)</t>
        </is>
      </c>
      <c r="C38" s="15" t="inlineStr">
        <is>
          <t>CJ Dropshipping (US warehouse filter)</t>
        </is>
      </c>
      <c r="D38" s="15" t="inlineStr">
        <is>
          <t>US (NJ or CA)</t>
        </is>
      </c>
      <c r="E38" s="16" t="n">
        <v>7</v>
      </c>
      <c r="F38" s="16" t="n">
        <v>5.5</v>
      </c>
      <c r="G38" s="17">
        <f>$B$8</f>
        <v>0.5</v>
      </c>
      <c r="H38" s="18" t="n">
        <v>33.99</v>
      </c>
      <c r="I38" s="17">
        <f>H38*$B$5+$B$6</f>
        <v>1.2857100000000001</v>
      </c>
      <c r="J38" s="17">
        <f>$B$16</f>
        <v>1.3</v>
      </c>
      <c r="K38" s="17">
        <f>H38*$B$7</f>
        <v>2.7192000000000003</v>
      </c>
      <c r="L38" s="17" t="n">
        <v>0</v>
      </c>
      <c r="M38" s="17">
        <f>$B$9</f>
        <v>5</v>
      </c>
      <c r="N38" s="17">
        <f>E38+F38+G38+I38+J38+K38+L38</f>
        <v>18.30491</v>
      </c>
      <c r="O38" s="17">
        <f>H38-N38</f>
        <v>15.685090000000002</v>
      </c>
      <c r="P38" s="19">
        <f>IF(H38=0,0,O38/H38)</f>
        <v>0.461461900558988</v>
      </c>
      <c r="Q38" s="17">
        <f>O38-M38</f>
        <v>10.685090000000002</v>
      </c>
      <c r="R38" s="19">
        <f>IF(H38=0,0,Q38/H38)</f>
        <v>0.3143598117093263</v>
      </c>
      <c r="S38" s="15">
        <f>IF((H38-E38-F38-G38-I38-K38)&lt;=0,"never",ROUNDUP($B$15/(H38-E38-F38-G38-I38-K38),0))</f>
        <v>3</v>
      </c>
      <c r="T38" s="15" t="str">
        <f>IF(AND(P38&gt;=$B$10,R38&gt;=$B$11),"PASS","KILL")</f>
        <v>PASS</v>
      </c>
      <c r="U38" s="15" t="inlineStr">
        <is>
          <t>yes, folded into price</t>
        </is>
      </c>
      <c r="V38" s="15" t="inlineStr">
        <is>
          <t>core (under $50)</t>
        </is>
      </c>
      <c r="W38" s="15" t="str">
        <f>IF(H38&lt;=$B$12,"core",IF(H38&lt;=$B$13,"splurge","OUT OF BAND"))</f>
        <v>core</v>
      </c>
      <c r="X38" s="15" t="inlineStr">
        <is>
          <t>estimate: cost = 40% of the US retail seen (Zendrop guide ratio $8 to $12 product on $25 retail); confirm on cjdropshipping.com</t>
        </is>
      </c>
    </row>
    <row r="39">
      <c r="A39" s="15" t="inlineStr">
        <is>
          <t>E04</t>
        </is>
      </c>
      <c r="B39" s="15" t="inlineStr">
        <is>
          <t>Pink aesthetic sticky notes and tabs set</t>
        </is>
      </c>
      <c r="C39" s="15" t="inlineStr">
        <is>
          <t>CJ Dropshipping (US warehouse filter)</t>
        </is>
      </c>
      <c r="D39" s="15" t="inlineStr">
        <is>
          <t>US (NJ or CA)</t>
        </is>
      </c>
      <c r="E39" s="16" t="n">
        <v>2.5</v>
      </c>
      <c r="F39" s="16" t="n">
        <v>4.5</v>
      </c>
      <c r="G39" s="17">
        <f>$B$8</f>
        <v>0.5</v>
      </c>
      <c r="H39" s="18" t="n">
        <v>22.99</v>
      </c>
      <c r="I39" s="17">
        <f>H39*$B$5+$B$6</f>
        <v>0.96671</v>
      </c>
      <c r="J39" s="17">
        <f>$B$16</f>
        <v>1.3</v>
      </c>
      <c r="K39" s="17">
        <f>H39*$B$7</f>
        <v>1.8392</v>
      </c>
      <c r="L39" s="17" t="n">
        <v>0</v>
      </c>
      <c r="M39" s="17">
        <f>$B$9</f>
        <v>5</v>
      </c>
      <c r="N39" s="17">
        <f>E39+F39+G39+I39+J39+K39+L39</f>
        <v>11.60591</v>
      </c>
      <c r="O39" s="17">
        <f>H39-N39</f>
        <v>11.384089999999999</v>
      </c>
      <c r="P39" s="19">
        <f>IF(H39=0,0,O39/H39)</f>
        <v>0.4951757285776424</v>
      </c>
      <c r="Q39" s="17">
        <f>O39-M39</f>
        <v>6.384089999999999</v>
      </c>
      <c r="R39" s="19">
        <f>IF(H39=0,0,Q39/H39)</f>
        <v>0.27768986515876465</v>
      </c>
      <c r="S39" s="15">
        <f>IF((H39-E39-F39-G39-I39-K39)&lt;=0,"never",ROUNDUP($B$15/(H39-E39-F39-G39-I39-K39),0))</f>
        <v>4</v>
      </c>
      <c r="T39" s="15" t="str">
        <f>IF(AND(P39&gt;=$B$10,R39&gt;=$B$11),"PASS","KILL")</f>
        <v>PASS</v>
      </c>
      <c r="U39" s="15" t="inlineStr">
        <is>
          <t>yes, folded into price</t>
        </is>
      </c>
      <c r="V39" s="15" t="inlineStr">
        <is>
          <t>core (under $50)</t>
        </is>
      </c>
      <c r="W39" s="15" t="str">
        <f>IF(H39&lt;=$B$12,"core",IF(H39&lt;=$B$13,"splurge","OUT OF BAND"))</f>
        <v>core</v>
      </c>
      <c r="X39" s="15" t="inlineStr">
        <is>
          <t>estimate: cost = 40% of the US retail seen (Zendrop guide ratio $8 to $12 product on $25 retail); confirm on cjdropshipping.com</t>
        </is>
      </c>
    </row>
    <row r="40">
      <c r="A40" s="15" t="inlineStr">
        <is>
          <t>E05</t>
        </is>
      </c>
      <c r="B40" s="15" t="inlineStr">
        <is>
          <t>Pink wooden monitor riser with drawer</t>
        </is>
      </c>
      <c r="C40" s="15" t="inlineStr">
        <is>
          <t>CJ Dropshipping (US warehouse filter)</t>
        </is>
      </c>
      <c r="D40" s="15" t="inlineStr">
        <is>
          <t>US (NJ or CA)</t>
        </is>
      </c>
      <c r="E40" s="16" t="n">
        <v>14</v>
      </c>
      <c r="F40" s="16" t="n">
        <v>8.15</v>
      </c>
      <c r="G40" s="17">
        <f>$B$8</f>
        <v>0.5</v>
      </c>
      <c r="H40" s="18" t="n">
        <v>54.99</v>
      </c>
      <c r="I40" s="17">
        <f>H40*$B$5+$B$6</f>
        <v>1.8947100000000001</v>
      </c>
      <c r="J40" s="17">
        <f>$B$16</f>
        <v>1.3</v>
      </c>
      <c r="K40" s="17">
        <f>H40*$B$7</f>
        <v>4.3992</v>
      </c>
      <c r="L40" s="17" t="n">
        <v>0</v>
      </c>
      <c r="M40" s="17">
        <f>$B$9</f>
        <v>5</v>
      </c>
      <c r="N40" s="17">
        <f>E40+F40+G40+I40+J40+K40+L40</f>
        <v>30.24391</v>
      </c>
      <c r="O40" s="17">
        <f>H40-N40</f>
        <v>24.746090000000002</v>
      </c>
      <c r="P40" s="19">
        <f>IF(H40=0,0,O40/H40)</f>
        <v>0.4500107292234952</v>
      </c>
      <c r="Q40" s="17">
        <f>O40-M40</f>
        <v>19.746090000000002</v>
      </c>
      <c r="R40" s="19">
        <f>IF(H40=0,0,Q40/H40)</f>
        <v>0.35908510638297875</v>
      </c>
      <c r="S40" s="15">
        <f>IF((H40-E40-F40-G40-I40-K40)&lt;=0,"never",ROUNDUP($B$15/(H40-E40-F40-G40-I40-K40),0))</f>
        <v>2</v>
      </c>
      <c r="T40" s="15" t="str">
        <f>IF(AND(P40&gt;=$B$10,R40&gt;=$B$11),"PASS","KILL")</f>
        <v>PASS</v>
      </c>
      <c r="U40" s="15" t="inlineStr">
        <is>
          <t>yes, folded into price</t>
        </is>
      </c>
      <c r="V40" s="15" t="inlineStr">
        <is>
          <t>splurge (one per look)</t>
        </is>
      </c>
      <c r="W40" s="15" t="str">
        <f>IF(H40&lt;=$B$12,"core",IF(H40&lt;=$B$13,"splurge","OUT OF BAND"))</f>
        <v>splurge</v>
      </c>
      <c r="X40" s="15" t="inlineStr">
        <is>
          <t>estimate: cost = 40% of the US retail seen (Zendrop guide ratio $8 to $12 product on $25 retail); confirm on cjdropshipping.com</t>
        </is>
      </c>
    </row>
    <row r="41">
      <c r="A41" s="15" t="inlineStr">
        <is>
          <t>E06</t>
        </is>
      </c>
      <c r="B41" s="15" t="inlineStr">
        <is>
          <t>Cream laptop sleeve with pink bow, 13 to 14 inch</t>
        </is>
      </c>
      <c r="C41" s="15" t="inlineStr">
        <is>
          <t>CJ Dropshipping (US warehouse filter)</t>
        </is>
      </c>
      <c r="D41" s="15" t="inlineStr">
        <is>
          <t>US (NJ or CA)</t>
        </is>
      </c>
      <c r="E41" s="16" t="n">
        <v>5</v>
      </c>
      <c r="F41" s="16" t="n">
        <v>5.5</v>
      </c>
      <c r="G41" s="17">
        <f>$B$8</f>
        <v>0.5</v>
      </c>
      <c r="H41" s="18" t="n">
        <v>28.99</v>
      </c>
      <c r="I41" s="17">
        <f>H41*$B$5+$B$6</f>
        <v>1.14071</v>
      </c>
      <c r="J41" s="17">
        <f>$B$16</f>
        <v>1.3</v>
      </c>
      <c r="K41" s="17">
        <f>H41*$B$7</f>
        <v>2.3192</v>
      </c>
      <c r="L41" s="17" t="n">
        <v>0</v>
      </c>
      <c r="M41" s="17">
        <f>$B$9</f>
        <v>5</v>
      </c>
      <c r="N41" s="17">
        <f>E41+F41+G41+I41+J41+K41+L41</f>
        <v>15.759910000000001</v>
      </c>
      <c r="O41" s="17">
        <f>H41-N41</f>
        <v>13.230089999999997</v>
      </c>
      <c r="P41" s="19">
        <f>IF(H41=0,0,O41/H41)</f>
        <v>0.4563673680579509</v>
      </c>
      <c r="Q41" s="17">
        <f>O41-M41</f>
        <v>8.230089999999997</v>
      </c>
      <c r="R41" s="19">
        <f>IF(H41=0,0,Q41/H41)</f>
        <v>0.2838941014142807</v>
      </c>
      <c r="S41" s="15">
        <f>IF((H41-E41-F41-G41-I41-K41)&lt;=0,"never",ROUNDUP($B$15/(H41-E41-F41-G41-I41-K41),0))</f>
        <v>3</v>
      </c>
      <c r="T41" s="15" t="str">
        <f>IF(AND(P41&gt;=$B$10,R41&gt;=$B$11),"PASS","KILL")</f>
        <v>PASS</v>
      </c>
      <c r="U41" s="15" t="inlineStr">
        <is>
          <t>yes, folded into price</t>
        </is>
      </c>
      <c r="V41" s="15" t="inlineStr">
        <is>
          <t>core (under $50)</t>
        </is>
      </c>
      <c r="W41" s="15" t="str">
        <f>IF(H41&lt;=$B$12,"core",IF(H41&lt;=$B$13,"splurge","OUT OF BAND"))</f>
        <v>core</v>
      </c>
      <c r="X41" s="15" t="inlineStr">
        <is>
          <t>estimate: cost = 40% of the US retail seen (Zendrop guide ratio $8 to $12 product on $25 retail); confirm on cjdropshipping.com</t>
        </is>
      </c>
    </row>
    <row r="42">
      <c r="A42" s="15" t="inlineStr">
        <is>
          <t>E07</t>
        </is>
      </c>
      <c r="B42" s="15" t="inlineStr">
        <is>
          <t>Pink quilted puffer laptop tote</t>
        </is>
      </c>
      <c r="C42" s="15" t="inlineStr">
        <is>
          <t>CJ Dropshipping (US warehouse filter)</t>
        </is>
      </c>
      <c r="D42" s="15" t="inlineStr">
        <is>
          <t>US (NJ or CA)</t>
        </is>
      </c>
      <c r="E42" s="16" t="n">
        <v>12</v>
      </c>
      <c r="F42" s="16" t="n">
        <v>5.5</v>
      </c>
      <c r="G42" s="17">
        <f>$B$8</f>
        <v>0.5</v>
      </c>
      <c r="H42" s="18" t="n">
        <v>44.99</v>
      </c>
      <c r="I42" s="17">
        <f>H42*$B$5+$B$6</f>
        <v>1.60471</v>
      </c>
      <c r="J42" s="17">
        <f>$B$16</f>
        <v>1.3</v>
      </c>
      <c r="K42" s="17">
        <f>H42*$B$7</f>
        <v>3.5992</v>
      </c>
      <c r="L42" s="17" t="n">
        <v>0</v>
      </c>
      <c r="M42" s="17">
        <f>$B$9</f>
        <v>5</v>
      </c>
      <c r="N42" s="17">
        <f>E42+F42+G42+I42+J42+K42+L42</f>
        <v>24.50391</v>
      </c>
      <c r="O42" s="17">
        <f>H42-N42</f>
        <v>20.48609</v>
      </c>
      <c r="P42" s="19">
        <f>IF(H42=0,0,O42/H42)</f>
        <v>0.4553476328072905</v>
      </c>
      <c r="Q42" s="17">
        <f>O42-M42</f>
        <v>15.48609</v>
      </c>
      <c r="R42" s="19">
        <f>IF(H42=0,0,Q42/H42)</f>
        <v>0.34421182484996665</v>
      </c>
      <c r="S42" s="15">
        <f>IF((H42-E42-F42-G42-I42-K42)&lt;=0,"never",ROUNDUP($B$15/(H42-E42-F42-G42-I42-K42),0))</f>
        <v>2</v>
      </c>
      <c r="T42" s="15" t="str">
        <f>IF(AND(P42&gt;=$B$10,R42&gt;=$B$11),"PASS","KILL")</f>
        <v>PASS</v>
      </c>
      <c r="U42" s="15" t="inlineStr">
        <is>
          <t>yes, folded into price</t>
        </is>
      </c>
      <c r="V42" s="15" t="inlineStr">
        <is>
          <t>core (under $50)</t>
        </is>
      </c>
      <c r="W42" s="15" t="str">
        <f>IF(H42&lt;=$B$12,"core",IF(H42&lt;=$B$13,"splurge","OUT OF BAND"))</f>
        <v>core</v>
      </c>
      <c r="X42" s="15" t="inlineStr">
        <is>
          <t>listing found via search; price not visible in snippet, cost is an estimate; confirm on cjdropshipping.com</t>
        </is>
      </c>
    </row>
    <row r="43">
      <c r="A43" s="15" t="inlineStr">
        <is>
          <t>E08</t>
        </is>
      </c>
      <c r="B43" s="15" t="inlineStr">
        <is>
          <t>Fluffy pink steering wheel cover, universal 15 inch</t>
        </is>
      </c>
      <c r="C43" s="15" t="inlineStr">
        <is>
          <t>CJ Dropshipping (US warehouse filter)</t>
        </is>
      </c>
      <c r="D43" s="15" t="inlineStr">
        <is>
          <t>US (NJ or CA)</t>
        </is>
      </c>
      <c r="E43" s="16" t="n">
        <v>6</v>
      </c>
      <c r="F43" s="16" t="n">
        <v>5.5</v>
      </c>
      <c r="G43" s="17">
        <f>$B$8</f>
        <v>0.5</v>
      </c>
      <c r="H43" s="18" t="n">
        <v>30.99</v>
      </c>
      <c r="I43" s="17">
        <f>H43*$B$5+$B$6</f>
        <v>1.19871</v>
      </c>
      <c r="J43" s="17">
        <f>$B$16</f>
        <v>1.3</v>
      </c>
      <c r="K43" s="17">
        <f>H43*$B$7</f>
        <v>2.4792</v>
      </c>
      <c r="L43" s="17" t="n">
        <v>0</v>
      </c>
      <c r="M43" s="17">
        <f>$B$9</f>
        <v>5</v>
      </c>
      <c r="N43" s="17">
        <f>E43+F43+G43+I43+J43+K43+L43</f>
        <v>16.97791</v>
      </c>
      <c r="O43" s="17">
        <f>H43-N43</f>
        <v>14.012089999999997</v>
      </c>
      <c r="P43" s="19">
        <f>IF(H43=0,0,O43/H43)</f>
        <v>0.45214875766376245</v>
      </c>
      <c r="Q43" s="17">
        <f>O43-M43</f>
        <v>9.012089999999997</v>
      </c>
      <c r="R43" s="19">
        <f>IF(H43=0,0,Q43/H43)</f>
        <v>0.2908063891577928</v>
      </c>
      <c r="S43" s="15">
        <f>IF((H43-E43-F43-G43-I43-K43)&lt;=0,"never",ROUNDUP($B$15/(H43-E43-F43-G43-I43-K43),0))</f>
        <v>3</v>
      </c>
      <c r="T43" s="15" t="str">
        <f>IF(AND(P43&gt;=$B$10,R43&gt;=$B$11),"PASS","KILL")</f>
        <v>PASS</v>
      </c>
      <c r="U43" s="15" t="inlineStr">
        <is>
          <t>yes, folded into price</t>
        </is>
      </c>
      <c r="V43" s="15" t="inlineStr">
        <is>
          <t>core (under $50)</t>
        </is>
      </c>
      <c r="W43" s="15" t="str">
        <f>IF(H43&lt;=$B$12,"core",IF(H43&lt;=$B$13,"splurge","OUT OF BAND"))</f>
        <v>core</v>
      </c>
      <c r="X43" s="15" t="inlineStr">
        <is>
          <t>estimate: cost = 40% of the US retail seen (Zendrop guide ratio $8 to $12 product on $25 retail); confirm on cjdropshipping.com</t>
        </is>
      </c>
    </row>
    <row r="44">
      <c r="A44" s="15" t="inlineStr">
        <is>
          <t>E09</t>
        </is>
      </c>
      <c r="B44" s="15" t="inlineStr">
        <is>
          <t>Pink leak-proof car trash can with lid</t>
        </is>
      </c>
      <c r="C44" s="15" t="inlineStr">
        <is>
          <t>CJ Dropshipping (US warehouse filter)</t>
        </is>
      </c>
      <c r="D44" s="15" t="inlineStr">
        <is>
          <t>US (NJ or CA)</t>
        </is>
      </c>
      <c r="E44" s="16" t="n">
        <v>6</v>
      </c>
      <c r="F44" s="16" t="n">
        <v>5.5</v>
      </c>
      <c r="G44" s="17">
        <f>$B$8</f>
        <v>0.5</v>
      </c>
      <c r="H44" s="18" t="n">
        <v>30.99</v>
      </c>
      <c r="I44" s="17">
        <f>H44*$B$5+$B$6</f>
        <v>1.19871</v>
      </c>
      <c r="J44" s="17">
        <f>$B$16</f>
        <v>1.3</v>
      </c>
      <c r="K44" s="17">
        <f>H44*$B$7</f>
        <v>2.4792</v>
      </c>
      <c r="L44" s="17" t="n">
        <v>0</v>
      </c>
      <c r="M44" s="17">
        <f>$B$9</f>
        <v>5</v>
      </c>
      <c r="N44" s="17">
        <f>E44+F44+G44+I44+J44+K44+L44</f>
        <v>16.97791</v>
      </c>
      <c r="O44" s="17">
        <f>H44-N44</f>
        <v>14.012089999999997</v>
      </c>
      <c r="P44" s="19">
        <f>IF(H44=0,0,O44/H44)</f>
        <v>0.45214875766376245</v>
      </c>
      <c r="Q44" s="17">
        <f>O44-M44</f>
        <v>9.012089999999997</v>
      </c>
      <c r="R44" s="19">
        <f>IF(H44=0,0,Q44/H44)</f>
        <v>0.2908063891577928</v>
      </c>
      <c r="S44" s="15">
        <f>IF((H44-E44-F44-G44-I44-K44)&lt;=0,"never",ROUNDUP($B$15/(H44-E44-F44-G44-I44-K44),0))</f>
        <v>3</v>
      </c>
      <c r="T44" s="15" t="str">
        <f>IF(AND(P44&gt;=$B$10,R44&gt;=$B$11),"PASS","KILL")</f>
        <v>PASS</v>
      </c>
      <c r="U44" s="15" t="inlineStr">
        <is>
          <t>yes, folded into price</t>
        </is>
      </c>
      <c r="V44" s="15" t="inlineStr">
        <is>
          <t>core (under $50)</t>
        </is>
      </c>
      <c r="W44" s="15" t="str">
        <f>IF(H44&lt;=$B$12,"core",IF(H44&lt;=$B$13,"splurge","OUT OF BAND"))</f>
        <v>core</v>
      </c>
      <c r="X44" s="15" t="inlineStr">
        <is>
          <t>estimate: cost = 40% of the US retail seen (Zendrop guide ratio $8 to $12 product on $25 retail); confirm on cjdropshipping.com</t>
        </is>
      </c>
    </row>
    <row r="45">
      <c r="A45" s="15" t="inlineStr">
        <is>
          <t>E10</t>
        </is>
      </c>
      <c r="B45" s="15" t="inlineStr">
        <is>
          <t>Bling rhinestone car cup coasters, pink, 2 pack</t>
        </is>
      </c>
      <c r="C45" s="15" t="inlineStr">
        <is>
          <t>CJ Dropshipping (US warehouse filter)</t>
        </is>
      </c>
      <c r="D45" s="15" t="inlineStr">
        <is>
          <t>US (NJ or CA)</t>
        </is>
      </c>
      <c r="E45" s="16" t="n">
        <v>2.5</v>
      </c>
      <c r="F45" s="16" t="n">
        <v>4.5</v>
      </c>
      <c r="G45" s="17">
        <f>$B$8</f>
        <v>0.5</v>
      </c>
      <c r="H45" s="18" t="n">
        <v>22.99</v>
      </c>
      <c r="I45" s="17">
        <f>H45*$B$5+$B$6</f>
        <v>0.96671</v>
      </c>
      <c r="J45" s="17">
        <f>$B$16</f>
        <v>1.3</v>
      </c>
      <c r="K45" s="17">
        <f>H45*$B$7</f>
        <v>1.8392</v>
      </c>
      <c r="L45" s="17" t="n">
        <v>0</v>
      </c>
      <c r="M45" s="17">
        <f>$B$9</f>
        <v>5</v>
      </c>
      <c r="N45" s="17">
        <f>E45+F45+G45+I45+J45+K45+L45</f>
        <v>11.60591</v>
      </c>
      <c r="O45" s="17">
        <f>H45-N45</f>
        <v>11.384089999999999</v>
      </c>
      <c r="P45" s="19">
        <f>IF(H45=0,0,O45/H45)</f>
        <v>0.4951757285776424</v>
      </c>
      <c r="Q45" s="17">
        <f>O45-M45</f>
        <v>6.384089999999999</v>
      </c>
      <c r="R45" s="19">
        <f>IF(H45=0,0,Q45/H45)</f>
        <v>0.27768986515876465</v>
      </c>
      <c r="S45" s="15">
        <f>IF((H45-E45-F45-G45-I45-K45)&lt;=0,"never",ROUNDUP($B$15/(H45-E45-F45-G45-I45-K45),0))</f>
        <v>4</v>
      </c>
      <c r="T45" s="15" t="str">
        <f>IF(AND(P45&gt;=$B$10,R45&gt;=$B$11),"PASS","KILL")</f>
        <v>PASS</v>
      </c>
      <c r="U45" s="15" t="inlineStr">
        <is>
          <t>yes, folded into price</t>
        </is>
      </c>
      <c r="V45" s="15" t="inlineStr">
        <is>
          <t>core (under $50)</t>
        </is>
      </c>
      <c r="W45" s="15" t="str">
        <f>IF(H45&lt;=$B$12,"core",IF(H45&lt;=$B$13,"splurge","OUT OF BAND"))</f>
        <v>core</v>
      </c>
      <c r="X45" s="15" t="inlineStr">
        <is>
          <t>estimate: cost = 40% of the US retail seen (Zendrop guide ratio $8 to $12 product on $25 retail); confirm on cjdropshipping.com</t>
        </is>
      </c>
    </row>
    <row r="46">
      <c r="A46" s="15" t="inlineStr">
        <is>
          <t>E11</t>
        </is>
      </c>
      <c r="B46" s="15" t="inlineStr">
        <is>
          <t>Plush pink seat belt covers with bow, pair</t>
        </is>
      </c>
      <c r="C46" s="15" t="inlineStr">
        <is>
          <t>CJ Dropshipping (US warehouse filter)</t>
        </is>
      </c>
      <c r="D46" s="15" t="inlineStr">
        <is>
          <t>US (NJ or CA)</t>
        </is>
      </c>
      <c r="E46" s="16" t="n">
        <v>3.5</v>
      </c>
      <c r="F46" s="16" t="n">
        <v>4.5</v>
      </c>
      <c r="G46" s="17">
        <f>$B$8</f>
        <v>0.5</v>
      </c>
      <c r="H46" s="18" t="n">
        <v>23.99</v>
      </c>
      <c r="I46" s="17">
        <f>H46*$B$5+$B$6</f>
        <v>0.9957099999999999</v>
      </c>
      <c r="J46" s="17">
        <f>$B$16</f>
        <v>1.3</v>
      </c>
      <c r="K46" s="17">
        <f>H46*$B$7</f>
        <v>1.9192</v>
      </c>
      <c r="L46" s="17" t="n">
        <v>0</v>
      </c>
      <c r="M46" s="17">
        <f>$B$9</f>
        <v>5</v>
      </c>
      <c r="N46" s="17">
        <f>E46+F46+G46+I46+J46+K46+L46</f>
        <v>12.71491</v>
      </c>
      <c r="O46" s="17">
        <f>H46-N46</f>
        <v>11.275089999999999</v>
      </c>
      <c r="P46" s="19">
        <f>IF(H46=0,0,O46/H46)</f>
        <v>0.46999124635264694</v>
      </c>
      <c r="Q46" s="17">
        <f>O46-M46</f>
        <v>6.275089999999999</v>
      </c>
      <c r="R46" s="19">
        <f>IF(H46=0,0,Q46/H46)</f>
        <v>0.26157107127969986</v>
      </c>
      <c r="S46" s="15">
        <f>IF((H46-E46-F46-G46-I46-K46)&lt;=0,"never",ROUNDUP($B$15/(H46-E46-F46-G46-I46-K46),0))</f>
        <v>4</v>
      </c>
      <c r="T46" s="15" t="str">
        <f>IF(AND(P46&gt;=$B$10,R46&gt;=$B$11),"PASS","KILL")</f>
        <v>PASS</v>
      </c>
      <c r="U46" s="15" t="inlineStr">
        <is>
          <t>yes, folded into price</t>
        </is>
      </c>
      <c r="V46" s="15" t="inlineStr">
        <is>
          <t>core (under $50)</t>
        </is>
      </c>
      <c r="W46" s="15" t="str">
        <f>IF(H46&lt;=$B$12,"core",IF(H46&lt;=$B$13,"splurge","OUT OF BAND"))</f>
        <v>core</v>
      </c>
      <c r="X46" s="15" t="inlineStr">
        <is>
          <t>estimate: cost = 40% of the US retail seen (Zendrop guide ratio $8 to $12 product on $25 retail); confirm on cjdropshipping.com</t>
        </is>
      </c>
    </row>
    <row r="47">
      <c r="A47" s="15" t="inlineStr">
        <is>
          <t>E12</t>
        </is>
      </c>
      <c r="B47" s="15" t="inlineStr">
        <is>
          <t>Pink magnetic suction car phone holder, no electronics</t>
        </is>
      </c>
      <c r="C47" s="15" t="inlineStr">
        <is>
          <t>CJ Dropshipping (US warehouse filter)</t>
        </is>
      </c>
      <c r="D47" s="15" t="inlineStr">
        <is>
          <t>US (NJ or CA)</t>
        </is>
      </c>
      <c r="E47" s="16" t="n">
        <v>4.5</v>
      </c>
      <c r="F47" s="16" t="n">
        <v>4.5</v>
      </c>
      <c r="G47" s="17">
        <f>$B$8</f>
        <v>0.5</v>
      </c>
      <c r="H47" s="18" t="n">
        <v>25.99</v>
      </c>
      <c r="I47" s="17">
        <f>H47*$B$5+$B$6</f>
        <v>1.05371</v>
      </c>
      <c r="J47" s="17">
        <f>$B$16</f>
        <v>1.3</v>
      </c>
      <c r="K47" s="17">
        <f>H47*$B$7</f>
        <v>2.0791999999999997</v>
      </c>
      <c r="L47" s="17" t="n">
        <v>0</v>
      </c>
      <c r="M47" s="17">
        <f>$B$9</f>
        <v>5</v>
      </c>
      <c r="N47" s="17">
        <f>E47+F47+G47+I47+J47+K47+L47</f>
        <v>13.932910000000001</v>
      </c>
      <c r="O47" s="17">
        <f>H47-N47</f>
        <v>12.057089999999997</v>
      </c>
      <c r="P47" s="19">
        <f>IF(H47=0,0,O47/H47)</f>
        <v>0.46391265871489024</v>
      </c>
      <c r="Q47" s="17">
        <f>O47-M47</f>
        <v>7.057089999999997</v>
      </c>
      <c r="R47" s="19">
        <f>IF(H47=0,0,Q47/H47)</f>
        <v>0.2715309734513273</v>
      </c>
      <c r="S47" s="15">
        <f>IF((H47-E47-F47-G47-I47-K47)&lt;=0,"never",ROUNDUP($B$15/(H47-E47-F47-G47-I47-K47),0))</f>
        <v>3</v>
      </c>
      <c r="T47" s="15" t="str">
        <f>IF(AND(P47&gt;=$B$10,R47&gt;=$B$11),"PASS","KILL")</f>
        <v>PASS</v>
      </c>
      <c r="U47" s="15" t="inlineStr">
        <is>
          <t>yes, folded into price</t>
        </is>
      </c>
      <c r="V47" s="15" t="inlineStr">
        <is>
          <t>core (under $50)</t>
        </is>
      </c>
      <c r="W47" s="15" t="str">
        <f>IF(H47&lt;=$B$12,"core",IF(H47&lt;=$B$13,"splurge","OUT OF BAND"))</f>
        <v>core</v>
      </c>
      <c r="X47" s="15" t="inlineStr">
        <is>
          <t>estimate: cost = 40% of the US retail seen (Zendrop guide ratio $8 to $12 product on $25 retail); confirm on cjdropshipping.com</t>
        </is>
      </c>
    </row>
    <row r="48">
      <c r="A48" s="15" t="inlineStr">
        <is>
          <t>E13</t>
        </is>
      </c>
      <c r="B48" s="15" t="inlineStr">
        <is>
          <t>Pink large-capacity travel vanity bag</t>
        </is>
      </c>
      <c r="C48" s="15" t="inlineStr">
        <is>
          <t>CJ Dropshipping (US warehouse filter)</t>
        </is>
      </c>
      <c r="D48" s="15" t="inlineStr">
        <is>
          <t>US (NJ or CA)</t>
        </is>
      </c>
      <c r="E48" s="16" t="n">
        <v>8</v>
      </c>
      <c r="F48" s="16" t="n">
        <v>5.5</v>
      </c>
      <c r="G48" s="17">
        <f>$B$8</f>
        <v>0.5</v>
      </c>
      <c r="H48" s="18" t="n">
        <v>35.99</v>
      </c>
      <c r="I48" s="17">
        <f>H48*$B$5+$B$6</f>
        <v>1.3437100000000002</v>
      </c>
      <c r="J48" s="17">
        <f>$B$16</f>
        <v>1.3</v>
      </c>
      <c r="K48" s="17">
        <f>H48*$B$7</f>
        <v>2.8792000000000004</v>
      </c>
      <c r="L48" s="17" t="n">
        <v>0</v>
      </c>
      <c r="M48" s="17">
        <f>$B$9</f>
        <v>5</v>
      </c>
      <c r="N48" s="17">
        <f>E48+F48+G48+I48+J48+K48+L48</f>
        <v>19.52291</v>
      </c>
      <c r="O48" s="17">
        <f>H48-N48</f>
        <v>16.467090000000002</v>
      </c>
      <c r="P48" s="19">
        <f>IF(H48=0,0,O48/H48)</f>
        <v>0.4575462628507919</v>
      </c>
      <c r="Q48" s="17">
        <f>O48-M48</f>
        <v>11.467090000000002</v>
      </c>
      <c r="R48" s="19">
        <f>IF(H48=0,0,Q48/H48)</f>
        <v>0.3186187829952765</v>
      </c>
      <c r="S48" s="15">
        <f>IF((H48-E48-F48-G48-I48-K48)&lt;=0,"never",ROUNDUP($B$15/(H48-E48-F48-G48-I48-K48),0))</f>
        <v>3</v>
      </c>
      <c r="T48" s="15" t="str">
        <f>IF(AND(P48&gt;=$B$10,R48&gt;=$B$11),"PASS","KILL")</f>
        <v>PASS</v>
      </c>
      <c r="U48" s="15" t="inlineStr">
        <is>
          <t>yes, folded into price</t>
        </is>
      </c>
      <c r="V48" s="15" t="inlineStr">
        <is>
          <t>core (under $50)</t>
        </is>
      </c>
      <c r="W48" s="15" t="str">
        <f>IF(H48&lt;=$B$12,"core",IF(H48&lt;=$B$13,"splurge","OUT OF BAND"))</f>
        <v>core</v>
      </c>
      <c r="X48" s="15" t="inlineStr">
        <is>
          <t>listing found via search; price not visible in snippet, cost is an estimate; confirm on cjdropshipping.com</t>
        </is>
      </c>
    </row>
    <row r="49">
      <c r="A49" s="15" t="inlineStr">
        <is>
          <t>E14</t>
        </is>
      </c>
      <c r="B49" s="15" t="inlineStr">
        <is>
          <t>Pink glitter makeup brush holder cup</t>
        </is>
      </c>
      <c r="C49" s="15" t="inlineStr">
        <is>
          <t>CJ Dropshipping (US warehouse filter)</t>
        </is>
      </c>
      <c r="D49" s="15" t="inlineStr">
        <is>
          <t>US (NJ or CA)</t>
        </is>
      </c>
      <c r="E49" s="16" t="n">
        <v>5</v>
      </c>
      <c r="F49" s="16" t="n">
        <v>4.5</v>
      </c>
      <c r="G49" s="17">
        <f>$B$8</f>
        <v>0.5</v>
      </c>
      <c r="H49" s="18" t="n">
        <v>26.99</v>
      </c>
      <c r="I49" s="17">
        <f>H49*$B$5+$B$6</f>
        <v>1.08271</v>
      </c>
      <c r="J49" s="17">
        <f>$B$16</f>
        <v>1.3</v>
      </c>
      <c r="K49" s="17">
        <f>H49*$B$7</f>
        <v>2.1592</v>
      </c>
      <c r="L49" s="17" t="n">
        <v>0</v>
      </c>
      <c r="M49" s="17">
        <f>$B$9</f>
        <v>5</v>
      </c>
      <c r="N49" s="17">
        <f>E49+F49+G49+I49+J49+K49+L49</f>
        <v>14.541910000000001</v>
      </c>
      <c r="O49" s="17">
        <f>H49-N49</f>
        <v>12.448089999999997</v>
      </c>
      <c r="P49" s="19">
        <f>IF(H49=0,0,O49/H49)</f>
        <v>0.46121118932938115</v>
      </c>
      <c r="Q49" s="17">
        <f>O49-M49</f>
        <v>7.448089999999997</v>
      </c>
      <c r="R49" s="19">
        <f>IF(H49=0,0,Q49/H49)</f>
        <v>0.27595739162652827</v>
      </c>
      <c r="S49" s="15">
        <f>IF((H49-E49-F49-G49-I49-K49)&lt;=0,"never",ROUNDUP($B$15/(H49-E49-F49-G49-I49-K49),0))</f>
        <v>3</v>
      </c>
      <c r="T49" s="15" t="str">
        <f>IF(AND(P49&gt;=$B$10,R49&gt;=$B$11),"PASS","KILL")</f>
        <v>PASS</v>
      </c>
      <c r="U49" s="15" t="inlineStr">
        <is>
          <t>yes, folded into price</t>
        </is>
      </c>
      <c r="V49" s="15" t="inlineStr">
        <is>
          <t>core (under $50)</t>
        </is>
      </c>
      <c r="W49" s="15" t="str">
        <f>IF(H49&lt;=$B$12,"core",IF(H49&lt;=$B$13,"splurge","OUT OF BAND"))</f>
        <v>core</v>
      </c>
      <c r="X49" s="15" t="inlineStr">
        <is>
          <t>estimate: cost = 40% of the US retail seen (Zendrop guide ratio $8 to $12 product on $25 retail); confirm on cjdropshipping.com</t>
        </is>
      </c>
    </row>
    <row r="50">
      <c r="A50" s="15" t="inlineStr">
        <is>
          <t>E15</t>
        </is>
      </c>
      <c r="B50" s="15" t="inlineStr">
        <is>
          <t>Clear acrylic 2-tier perfume and vanity tray</t>
        </is>
      </c>
      <c r="C50" s="15" t="inlineStr">
        <is>
          <t>CJ Dropshipping (US warehouse filter)</t>
        </is>
      </c>
      <c r="D50" s="15" t="inlineStr">
        <is>
          <t>US (NJ or CA)</t>
        </is>
      </c>
      <c r="E50" s="16" t="n">
        <v>7</v>
      </c>
      <c r="F50" s="16" t="n">
        <v>5.5</v>
      </c>
      <c r="G50" s="17">
        <f>$B$8</f>
        <v>0.5</v>
      </c>
      <c r="H50" s="18" t="n">
        <v>33.99</v>
      </c>
      <c r="I50" s="17">
        <f>H50*$B$5+$B$6</f>
        <v>1.2857100000000001</v>
      </c>
      <c r="J50" s="17">
        <f>$B$16</f>
        <v>1.3</v>
      </c>
      <c r="K50" s="17">
        <f>H50*$B$7</f>
        <v>2.7192000000000003</v>
      </c>
      <c r="L50" s="17" t="n">
        <v>0</v>
      </c>
      <c r="M50" s="17">
        <f>$B$9</f>
        <v>5</v>
      </c>
      <c r="N50" s="17">
        <f>E50+F50+G50+I50+J50+K50+L50</f>
        <v>18.30491</v>
      </c>
      <c r="O50" s="17">
        <f>H50-N50</f>
        <v>15.685090000000002</v>
      </c>
      <c r="P50" s="19">
        <f>IF(H50=0,0,O50/H50)</f>
        <v>0.461461900558988</v>
      </c>
      <c r="Q50" s="17">
        <f>O50-M50</f>
        <v>10.685090000000002</v>
      </c>
      <c r="R50" s="19">
        <f>IF(H50=0,0,Q50/H50)</f>
        <v>0.3143598117093263</v>
      </c>
      <c r="S50" s="15">
        <f>IF((H50-E50-F50-G50-I50-K50)&lt;=0,"never",ROUNDUP($B$15/(H50-E50-F50-G50-I50-K50),0))</f>
        <v>3</v>
      </c>
      <c r="T50" s="15" t="str">
        <f>IF(AND(P50&gt;=$B$10,R50&gt;=$B$11),"PASS","KILL")</f>
        <v>PASS</v>
      </c>
      <c r="U50" s="15" t="inlineStr">
        <is>
          <t>yes, folded into price</t>
        </is>
      </c>
      <c r="V50" s="15" t="inlineStr">
        <is>
          <t>core (under $50)</t>
        </is>
      </c>
      <c r="W50" s="15" t="str">
        <f>IF(H50&lt;=$B$12,"core",IF(H50&lt;=$B$13,"splurge","OUT OF BAND"))</f>
        <v>core</v>
      </c>
      <c r="X50" s="15" t="inlineStr">
        <is>
          <t>estimate: cost = 40% of the US retail seen (Zendrop guide ratio $8 to $12 product on $25 retail); confirm on cjdropshipping.com</t>
        </is>
      </c>
    </row>
    <row r="51">
      <c r="A51" s="15" t="inlineStr">
        <is>
          <t>E16</t>
        </is>
      </c>
      <c r="B51" s="15" t="inlineStr">
        <is>
          <t>Hot pink multi-compartment desk and vanity organiser</t>
        </is>
      </c>
      <c r="C51" s="15" t="inlineStr">
        <is>
          <t>CJ Dropshipping (US warehouse filter)</t>
        </is>
      </c>
      <c r="D51" s="15" t="inlineStr">
        <is>
          <t>US (NJ or CA)</t>
        </is>
      </c>
      <c r="E51" s="16" t="n">
        <v>4.4</v>
      </c>
      <c r="F51" s="16" t="n">
        <v>5.5</v>
      </c>
      <c r="G51" s="17">
        <f>$B$8</f>
        <v>0.5</v>
      </c>
      <c r="H51" s="18" t="n">
        <v>27.99</v>
      </c>
      <c r="I51" s="17">
        <f>H51*$B$5+$B$6</f>
        <v>1.11171</v>
      </c>
      <c r="J51" s="17">
        <f>$B$16</f>
        <v>1.3</v>
      </c>
      <c r="K51" s="17">
        <f>H51*$B$7</f>
        <v>2.2392</v>
      </c>
      <c r="L51" s="17" t="n">
        <v>0</v>
      </c>
      <c r="M51" s="17">
        <f>$B$9</f>
        <v>5</v>
      </c>
      <c r="N51" s="17">
        <f>E51+F51+G51+I51+J51+K51+L51</f>
        <v>15.050910000000002</v>
      </c>
      <c r="O51" s="17">
        <f>H51-N51</f>
        <v>12.939089999999997</v>
      </c>
      <c r="P51" s="19">
        <f>IF(H51=0,0,O51/H51)</f>
        <v>0.4622754555198284</v>
      </c>
      <c r="Q51" s="17">
        <f>O51-M51</f>
        <v>7.939089999999997</v>
      </c>
      <c r="R51" s="19">
        <f>IF(H51=0,0,Q51/H51)</f>
        <v>0.2836402286530903</v>
      </c>
      <c r="S51" s="15">
        <f>IF((H51-E51-F51-G51-I51-K51)&lt;=0,"never",ROUNDUP($B$15/(H51-E51-F51-G51-I51-K51),0))</f>
        <v>3</v>
      </c>
      <c r="T51" s="15" t="str">
        <f>IF(AND(P51&gt;=$B$10,R51&gt;=$B$11),"PASS","KILL")</f>
        <v>PASS</v>
      </c>
      <c r="U51" s="15" t="inlineStr">
        <is>
          <t>yes, folded into price</t>
        </is>
      </c>
      <c r="V51" s="15" t="inlineStr">
        <is>
          <t>core (under $50)</t>
        </is>
      </c>
      <c r="W51" s="15" t="str">
        <f>IF(H51&lt;=$B$12,"core",IF(H51&lt;=$B$13,"splurge","OUT OF BAND"))</f>
        <v>core</v>
      </c>
      <c r="X51" s="15" t="inlineStr">
        <is>
          <t>estimate: cost = 40% of the US retail seen (Zendrop guide ratio $8 to $12 product on $25 retail); confirm on cjdropshipping.com</t>
        </is>
      </c>
    </row>
    <row r="52">
      <c r="A52" s="15" t="inlineStr">
        <is>
          <t>E17</t>
        </is>
      </c>
      <c r="B52" s="15" t="inlineStr">
        <is>
          <t>Pink bow spa headband and wristband set</t>
        </is>
      </c>
      <c r="C52" s="15" t="inlineStr">
        <is>
          <t>CJ Dropshipping (US warehouse filter)</t>
        </is>
      </c>
      <c r="D52" s="15" t="inlineStr">
        <is>
          <t>US (NJ or CA)</t>
        </is>
      </c>
      <c r="E52" s="16" t="n">
        <v>1.5</v>
      </c>
      <c r="F52" s="16" t="n">
        <v>4.5</v>
      </c>
      <c r="G52" s="17">
        <f>$B$8</f>
        <v>0.5</v>
      </c>
      <c r="H52" s="18" t="n">
        <v>20.99</v>
      </c>
      <c r="I52" s="17">
        <f>H52*$B$5+$B$6</f>
        <v>0.9087099999999999</v>
      </c>
      <c r="J52" s="17">
        <f>$B$16</f>
        <v>1.3</v>
      </c>
      <c r="K52" s="17">
        <f>H52*$B$7</f>
        <v>1.6791999999999998</v>
      </c>
      <c r="L52" s="17" t="n">
        <v>0</v>
      </c>
      <c r="M52" s="17">
        <f>$B$9</f>
        <v>5</v>
      </c>
      <c r="N52" s="17">
        <f>E52+F52+G52+I52+J52+K52+L52</f>
        <v>10.38791</v>
      </c>
      <c r="O52" s="17">
        <f>H52-N52</f>
        <v>10.602089999999999</v>
      </c>
      <c r="P52" s="19">
        <f>IF(H52=0,0,O52/H52)</f>
        <v>0.5051019533111005</v>
      </c>
      <c r="Q52" s="17">
        <f>O52-M52</f>
        <v>5.602089999999999</v>
      </c>
      <c r="R52" s="19">
        <f>IF(H52=0,0,Q52/H52)</f>
        <v>0.2668932825154835</v>
      </c>
      <c r="S52" s="15">
        <f>IF((H52-E52-F52-G52-I52-K52)&lt;=0,"never",ROUNDUP($B$15/(H52-E52-F52-G52-I52-K52),0))</f>
        <v>4</v>
      </c>
      <c r="T52" s="15" t="str">
        <f>IF(AND(P52&gt;=$B$10,R52&gt;=$B$11),"PASS","KILL")</f>
        <v>PASS</v>
      </c>
      <c r="U52" s="15" t="inlineStr">
        <is>
          <t>yes, folded into price</t>
        </is>
      </c>
      <c r="V52" s="15" t="inlineStr">
        <is>
          <t>core (under $50)</t>
        </is>
      </c>
      <c r="W52" s="15" t="str">
        <f>IF(H52&lt;=$B$12,"core",IF(H52&lt;=$B$13,"splurge","OUT OF BAND"))</f>
        <v>core</v>
      </c>
      <c r="X52" s="15" t="inlineStr">
        <is>
          <t>estimate: cost = 40% of the US retail seen (Zendrop guide ratio $8 to $12 product on $25 retail); confirm on cjdropshipping.com</t>
        </is>
      </c>
    </row>
    <row r="53">
      <c r="A53" s="15" t="inlineStr">
        <is>
          <t>E18</t>
        </is>
      </c>
      <c r="B53" s="15" t="inlineStr">
        <is>
          <t>Covered acrylic makeup organiser with pink lid</t>
        </is>
      </c>
      <c r="C53" s="15" t="inlineStr">
        <is>
          <t>CJ Dropshipping (US warehouse filter)</t>
        </is>
      </c>
      <c r="D53" s="15" t="inlineStr">
        <is>
          <t>US (NJ or CA)</t>
        </is>
      </c>
      <c r="E53" s="16" t="n">
        <v>8</v>
      </c>
      <c r="F53" s="16" t="n">
        <v>8.15</v>
      </c>
      <c r="G53" s="17">
        <f>$B$8</f>
        <v>0.5</v>
      </c>
      <c r="H53" s="18" t="n">
        <v>41.99</v>
      </c>
      <c r="I53" s="17">
        <f>H53*$B$5+$B$6</f>
        <v>1.5177100000000001</v>
      </c>
      <c r="J53" s="17">
        <f>$B$16</f>
        <v>1.3</v>
      </c>
      <c r="K53" s="17">
        <f>H53*$B$7</f>
        <v>3.3592000000000004</v>
      </c>
      <c r="L53" s="17" t="n">
        <v>0</v>
      </c>
      <c r="M53" s="17">
        <f>$B$9</f>
        <v>5</v>
      </c>
      <c r="N53" s="17">
        <f>E53+F53+G53+I53+J53+K53+L53</f>
        <v>22.82691</v>
      </c>
      <c r="O53" s="17">
        <f>H53-N53</f>
        <v>19.16309</v>
      </c>
      <c r="P53" s="19">
        <f>IF(H53=0,0,O53/H53)</f>
        <v>0.45637270778756844</v>
      </c>
      <c r="Q53" s="17">
        <f>O53-M53</f>
        <v>14.16309</v>
      </c>
      <c r="R53" s="19">
        <f>IF(H53=0,0,Q53/H53)</f>
        <v>0.33729673731840915</v>
      </c>
      <c r="S53" s="15">
        <f>IF((H53-E53-F53-G53-I53-K53)&lt;=0,"never",ROUNDUP($B$15/(H53-E53-F53-G53-I53-K53),0))</f>
        <v>2</v>
      </c>
      <c r="T53" s="15" t="str">
        <f>IF(AND(P53&gt;=$B$10,R53&gt;=$B$11),"PASS","KILL")</f>
        <v>PASS</v>
      </c>
      <c r="U53" s="15" t="inlineStr">
        <is>
          <t>yes, folded into price</t>
        </is>
      </c>
      <c r="V53" s="15" t="inlineStr">
        <is>
          <t>core (under $50)</t>
        </is>
      </c>
      <c r="W53" s="15" t="str">
        <f>IF(H53&lt;=$B$12,"core",IF(H53&lt;=$B$13,"splurge","OUT OF BAND"))</f>
        <v>core</v>
      </c>
      <c r="X53" s="15" t="inlineStr">
        <is>
          <t>estimate: cost = 40% of the US retail seen (Zendrop guide ratio $8 to $12 product on $25 retail); confirm on cjdropshipping.com</t>
        </is>
      </c>
    </row>
    <row r="54">
      <c r="A54" s="15" t="inlineStr">
        <is>
          <t>E19</t>
        </is>
      </c>
      <c r="B54" s="15" t="inlineStr">
        <is>
          <t>Puffy pink slippers</t>
        </is>
      </c>
      <c r="C54" s="15" t="inlineStr">
        <is>
          <t>CJ Dropshipping (US warehouse filter)</t>
        </is>
      </c>
      <c r="D54" s="15" t="inlineStr">
        <is>
          <t>US (NJ or CA)</t>
        </is>
      </c>
      <c r="E54" s="16" t="n">
        <v>7</v>
      </c>
      <c r="F54" s="16" t="n">
        <v>5.5</v>
      </c>
      <c r="G54" s="17">
        <f>$B$8</f>
        <v>0.5</v>
      </c>
      <c r="H54" s="18" t="n">
        <v>33.99</v>
      </c>
      <c r="I54" s="17">
        <f>H54*$B$5+$B$6</f>
        <v>1.2857100000000001</v>
      </c>
      <c r="J54" s="17">
        <f>$B$16</f>
        <v>1.3</v>
      </c>
      <c r="K54" s="17">
        <f>H54*$B$7</f>
        <v>2.7192000000000003</v>
      </c>
      <c r="L54" s="17" t="n">
        <v>0</v>
      </c>
      <c r="M54" s="17">
        <f>$B$9</f>
        <v>5</v>
      </c>
      <c r="N54" s="17">
        <f>E54+F54+G54+I54+J54+K54+L54</f>
        <v>18.30491</v>
      </c>
      <c r="O54" s="17">
        <f>H54-N54</f>
        <v>15.685090000000002</v>
      </c>
      <c r="P54" s="19">
        <f>IF(H54=0,0,O54/H54)</f>
        <v>0.461461900558988</v>
      </c>
      <c r="Q54" s="17">
        <f>O54-M54</f>
        <v>10.685090000000002</v>
      </c>
      <c r="R54" s="19">
        <f>IF(H54=0,0,Q54/H54)</f>
        <v>0.3143598117093263</v>
      </c>
      <c r="S54" s="15">
        <f>IF((H54-E54-F54-G54-I54-K54)&lt;=0,"never",ROUNDUP($B$15/(H54-E54-F54-G54-I54-K54),0))</f>
        <v>3</v>
      </c>
      <c r="T54" s="15" t="str">
        <f>IF(AND(P54&gt;=$B$10,R54&gt;=$B$11),"PASS","KILL")</f>
        <v>PASS</v>
      </c>
      <c r="U54" s="15" t="inlineStr">
        <is>
          <t>yes, folded into price</t>
        </is>
      </c>
      <c r="V54" s="15" t="inlineStr">
        <is>
          <t>core (under $50)</t>
        </is>
      </c>
      <c r="W54" s="15" t="str">
        <f>IF(H54&lt;=$B$12,"core",IF(H54&lt;=$B$13,"splurge","OUT OF BAND"))</f>
        <v>core</v>
      </c>
      <c r="X54" s="15" t="inlineStr">
        <is>
          <t>estimate: cost = 40% of the US retail seen (Zendrop guide ratio $8 to $12 product on $25 retail); confirm on cjdropshipping.com</t>
        </is>
      </c>
    </row>
    <row r="55">
      <c r="A55" s="15" t="inlineStr">
        <is>
          <t>E20</t>
        </is>
      </c>
      <c r="B55" s="15" t="inlineStr">
        <is>
          <t>Pink satin sleep mask with bow</t>
        </is>
      </c>
      <c r="C55" s="15" t="inlineStr">
        <is>
          <t>CJ Dropshipping (US warehouse filter)</t>
        </is>
      </c>
      <c r="D55" s="15" t="inlineStr">
        <is>
          <t>US (NJ or CA)</t>
        </is>
      </c>
      <c r="E55" s="16" t="n">
        <v>4</v>
      </c>
      <c r="F55" s="16" t="n">
        <v>4.5</v>
      </c>
      <c r="G55" s="17">
        <f>$B$8</f>
        <v>0.5</v>
      </c>
      <c r="H55" s="18" t="n">
        <v>24.99</v>
      </c>
      <c r="I55" s="17">
        <f>H55*$B$5+$B$6</f>
        <v>1.02471</v>
      </c>
      <c r="J55" s="17">
        <f>$B$16</f>
        <v>1.3</v>
      </c>
      <c r="K55" s="17">
        <f>H55*$B$7</f>
        <v>1.9991999999999999</v>
      </c>
      <c r="L55" s="17" t="n">
        <v>0</v>
      </c>
      <c r="M55" s="17">
        <f>$B$9</f>
        <v>5</v>
      </c>
      <c r="N55" s="17">
        <f>E55+F55+G55+I55+J55+K55+L55</f>
        <v>13.323910000000001</v>
      </c>
      <c r="O55" s="17">
        <f>H55-N55</f>
        <v>11.666089999999997</v>
      </c>
      <c r="P55" s="19">
        <f>IF(H55=0,0,O55/H55)</f>
        <v>0.4668303321328531</v>
      </c>
      <c r="Q55" s="17">
        <f>O55-M55</f>
        <v>6.666089999999997</v>
      </c>
      <c r="R55" s="19">
        <f>IF(H55=0,0,Q55/H55)</f>
        <v>0.2667503001200479</v>
      </c>
      <c r="S55" s="15">
        <f>IF((H55-E55-F55-G55-I55-K55)&lt;=0,"never",ROUNDUP($B$15/(H55-E55-F55-G55-I55-K55),0))</f>
        <v>4</v>
      </c>
      <c r="T55" s="15" t="str">
        <f>IF(AND(P55&gt;=$B$10,R55&gt;=$B$11),"PASS","KILL")</f>
        <v>PASS</v>
      </c>
      <c r="U55" s="15" t="inlineStr">
        <is>
          <t>yes, folded into price</t>
        </is>
      </c>
      <c r="V55" s="15" t="inlineStr">
        <is>
          <t>core (under $50)</t>
        </is>
      </c>
      <c r="W55" s="15" t="str">
        <f>IF(H55&lt;=$B$12,"core",IF(H55&lt;=$B$13,"splurge","OUT OF BAND"))</f>
        <v>core</v>
      </c>
      <c r="X55" s="15" t="inlineStr">
        <is>
          <t>estimate: cost = 40% of the US retail seen (Zendrop guide ratio $8 to $12 product on $25 retail); confirm on cjdropshipping.com</t>
        </is>
      </c>
    </row>
    <row r="56">
      <c r="A56" s="15" t="inlineStr">
        <is>
          <t>E21</t>
        </is>
      </c>
      <c r="B56" s="15" t="inlineStr">
        <is>
          <t>Pink feather-trim pajama set</t>
        </is>
      </c>
      <c r="C56" s="15" t="inlineStr">
        <is>
          <t>CJ Dropshipping (US warehouse filter)</t>
        </is>
      </c>
      <c r="D56" s="15" t="inlineStr">
        <is>
          <t>US (NJ or CA)</t>
        </is>
      </c>
      <c r="E56" s="16" t="n">
        <v>9</v>
      </c>
      <c r="F56" s="16" t="n">
        <v>5.5</v>
      </c>
      <c r="G56" s="17">
        <f>$B$8</f>
        <v>0.5</v>
      </c>
      <c r="H56" s="18" t="n">
        <v>37.99</v>
      </c>
      <c r="I56" s="17">
        <f>H56*$B$5+$B$6</f>
        <v>1.4017100000000002</v>
      </c>
      <c r="J56" s="17">
        <f>$B$16</f>
        <v>1.3</v>
      </c>
      <c r="K56" s="17">
        <f>H56*$B$7</f>
        <v>3.0392</v>
      </c>
      <c r="L56" s="17" t="n">
        <v>0</v>
      </c>
      <c r="M56" s="17">
        <f>$B$9</f>
        <v>5</v>
      </c>
      <c r="N56" s="17">
        <f>E56+F56+G56+I56+J56+K56+L56</f>
        <v>20.740910000000003</v>
      </c>
      <c r="O56" s="17">
        <f>H56-N56</f>
        <v>17.24909</v>
      </c>
      <c r="P56" s="19">
        <f>IF(H56=0,0,O56/H56)</f>
        <v>0.45404290602790204</v>
      </c>
      <c r="Q56" s="17">
        <f>O56-M56</f>
        <v>12.249089999999999</v>
      </c>
      <c r="R56" s="19">
        <f>IF(H56=0,0,Q56/H56)</f>
        <v>0.3224293235061858</v>
      </c>
      <c r="S56" s="15">
        <f>IF((H56-E56-F56-G56-I56-K56)&lt;=0,"never",ROUNDUP($B$15/(H56-E56-F56-G56-I56-K56),0))</f>
        <v>3</v>
      </c>
      <c r="T56" s="15" t="str">
        <f>IF(AND(P56&gt;=$B$10,R56&gt;=$B$11),"PASS","KILL")</f>
        <v>PASS</v>
      </c>
      <c r="U56" s="15" t="inlineStr">
        <is>
          <t>yes, folded into price</t>
        </is>
      </c>
      <c r="V56" s="15" t="inlineStr">
        <is>
          <t>core (under $50)</t>
        </is>
      </c>
      <c r="W56" s="15" t="str">
        <f>IF(H56&lt;=$B$12,"core",IF(H56&lt;=$B$13,"splurge","OUT OF BAND"))</f>
        <v>core</v>
      </c>
      <c r="X56" s="15" t="inlineStr">
        <is>
          <t>estimate: cost = 40% of the US retail seen (Zendrop guide ratio $8 to $12 product on $25 retail); confirm on cjdropshipping.com</t>
        </is>
      </c>
    </row>
    <row r="57">
      <c r="A57" s="15" t="inlineStr">
        <is>
          <t>E22</t>
        </is>
      </c>
      <c r="B57" s="15" t="inlineStr">
        <is>
          <t>Pink satin heatless curling rod set</t>
        </is>
      </c>
      <c r="C57" s="15" t="inlineStr">
        <is>
          <t>CJ Dropshipping (US warehouse filter)</t>
        </is>
      </c>
      <c r="D57" s="15" t="inlineStr">
        <is>
          <t>US (NJ or CA)</t>
        </is>
      </c>
      <c r="E57" s="16" t="n">
        <v>4</v>
      </c>
      <c r="F57" s="16" t="n">
        <v>4.5</v>
      </c>
      <c r="G57" s="17">
        <f>$B$8</f>
        <v>0.5</v>
      </c>
      <c r="H57" s="18" t="n">
        <v>24.99</v>
      </c>
      <c r="I57" s="17">
        <f>H57*$B$5+$B$6</f>
        <v>1.02471</v>
      </c>
      <c r="J57" s="17">
        <f>$B$16</f>
        <v>1.3</v>
      </c>
      <c r="K57" s="17">
        <f>H57*$B$7</f>
        <v>1.9991999999999999</v>
      </c>
      <c r="L57" s="17" t="n">
        <v>0</v>
      </c>
      <c r="M57" s="17">
        <f>$B$9</f>
        <v>5</v>
      </c>
      <c r="N57" s="17">
        <f>E57+F57+G57+I57+J57+K57+L57</f>
        <v>13.323910000000001</v>
      </c>
      <c r="O57" s="17">
        <f>H57-N57</f>
        <v>11.666089999999997</v>
      </c>
      <c r="P57" s="19">
        <f>IF(H57=0,0,O57/H57)</f>
        <v>0.4668303321328531</v>
      </c>
      <c r="Q57" s="17">
        <f>O57-M57</f>
        <v>6.666089999999997</v>
      </c>
      <c r="R57" s="19">
        <f>IF(H57=0,0,Q57/H57)</f>
        <v>0.2667503001200479</v>
      </c>
      <c r="S57" s="15">
        <f>IF((H57-E57-F57-G57-I57-K57)&lt;=0,"never",ROUNDUP($B$15/(H57-E57-F57-G57-I57-K57),0))</f>
        <v>4</v>
      </c>
      <c r="T57" s="15" t="str">
        <f>IF(AND(P57&gt;=$B$10,R57&gt;=$B$11),"PASS","KILL")</f>
        <v>PASS</v>
      </c>
      <c r="U57" s="15" t="inlineStr">
        <is>
          <t>yes, folded into price</t>
        </is>
      </c>
      <c r="V57" s="15" t="inlineStr">
        <is>
          <t>core (under $50)</t>
        </is>
      </c>
      <c r="W57" s="15" t="str">
        <f>IF(H57&lt;=$B$12,"core",IF(H57&lt;=$B$13,"splurge","OUT OF BAND"))</f>
        <v>core</v>
      </c>
      <c r="X57" s="15" t="inlineStr">
        <is>
          <t>estimate: cost = 40% of the US retail seen (Zendrop guide ratio $8 to $12 product on $25 retail); confirm on cjdropshipping.com</t>
        </is>
      </c>
    </row>
    <row r="58">
      <c r="A58" s="15" t="inlineStr">
        <is>
          <t>E23</t>
        </is>
      </c>
      <c r="B58" s="15" t="inlineStr">
        <is>
          <t>Pink robe with feather trim, one size</t>
        </is>
      </c>
      <c r="C58" s="15" t="inlineStr">
        <is>
          <t>CJ Dropshipping (US warehouse filter)</t>
        </is>
      </c>
      <c r="D58" s="15" t="inlineStr">
        <is>
          <t>US (NJ or CA)</t>
        </is>
      </c>
      <c r="E58" s="16" t="n">
        <v>16</v>
      </c>
      <c r="F58" s="16" t="n">
        <v>8.15</v>
      </c>
      <c r="G58" s="17">
        <f>$B$8</f>
        <v>0.5</v>
      </c>
      <c r="H58" s="18" t="n">
        <v>59.99</v>
      </c>
      <c r="I58" s="17">
        <f>H58*$B$5+$B$6</f>
        <v>2.03971</v>
      </c>
      <c r="J58" s="17">
        <f>$B$16</f>
        <v>1.3</v>
      </c>
      <c r="K58" s="17">
        <f>H58*$B$7</f>
        <v>4.7992</v>
      </c>
      <c r="L58" s="17" t="n">
        <v>0</v>
      </c>
      <c r="M58" s="17">
        <f>$B$9</f>
        <v>5</v>
      </c>
      <c r="N58" s="17">
        <f>E58+F58+G58+I58+J58+K58+L58</f>
        <v>32.78891</v>
      </c>
      <c r="O58" s="17">
        <f>H58-N58</f>
        <v>27.20109</v>
      </c>
      <c r="P58" s="19">
        <f>IF(H58=0,0,O58/H58)</f>
        <v>0.45342707117852976</v>
      </c>
      <c r="Q58" s="17">
        <f>O58-M58</f>
        <v>22.20109</v>
      </c>
      <c r="R58" s="19">
        <f>IF(H58=0,0,Q58/H58)</f>
        <v>0.3700798466411068</v>
      </c>
      <c r="S58" s="15">
        <f>IF((H58-E58-F58-G58-I58-K58)&lt;=0,"never",ROUNDUP($B$15/(H58-E58-F58-G58-I58-K58),0))</f>
        <v>2</v>
      </c>
      <c r="T58" s="15" t="str">
        <f>IF(AND(P58&gt;=$B$10,R58&gt;=$B$11),"PASS","KILL")</f>
        <v>PASS</v>
      </c>
      <c r="U58" s="15" t="inlineStr">
        <is>
          <t>yes, folded into price</t>
        </is>
      </c>
      <c r="V58" s="15" t="inlineStr">
        <is>
          <t>splurge (one per look)</t>
        </is>
      </c>
      <c r="W58" s="15" t="str">
        <f>IF(H58&lt;=$B$12,"core",IF(H58&lt;=$B$13,"splurge","OUT OF BAND"))</f>
        <v>splurge</v>
      </c>
      <c r="X58" s="15" t="inlineStr">
        <is>
          <t>estimate: cost = 40% of the US retail seen (Zendrop guide ratio $8 to $12 product on $25 retail); confirm on cjdropshipping.com</t>
        </is>
      </c>
    </row>
    <row r="59">
      <c r="A59" s="15" t="inlineStr">
        <is>
          <t>E24</t>
        </is>
      </c>
      <c r="B59" s="15" t="inlineStr">
        <is>
          <t>Cream hooded wearable blanket</t>
        </is>
      </c>
      <c r="C59" s="15" t="inlineStr">
        <is>
          <t>CJ Dropshipping (US warehouse filter)</t>
        </is>
      </c>
      <c r="D59" s="15" t="inlineStr">
        <is>
          <t>US (NJ or CA)</t>
        </is>
      </c>
      <c r="E59" s="16" t="n">
        <v>9</v>
      </c>
      <c r="F59" s="16" t="n">
        <v>8.15</v>
      </c>
      <c r="G59" s="17">
        <f>$B$8</f>
        <v>0.5</v>
      </c>
      <c r="H59" s="18" t="n">
        <v>43.99</v>
      </c>
      <c r="I59" s="17">
        <f>H59*$B$5+$B$6</f>
        <v>1.5757100000000002</v>
      </c>
      <c r="J59" s="17">
        <f>$B$16</f>
        <v>1.3</v>
      </c>
      <c r="K59" s="17">
        <f>H59*$B$7</f>
        <v>3.5192</v>
      </c>
      <c r="L59" s="17" t="n">
        <v>0</v>
      </c>
      <c r="M59" s="17">
        <f>$B$9</f>
        <v>5</v>
      </c>
      <c r="N59" s="17">
        <f>E59+F59+G59+I59+J59+K59+L59</f>
        <v>24.04491</v>
      </c>
      <c r="O59" s="17">
        <f>H59-N59</f>
        <v>19.94509</v>
      </c>
      <c r="P59" s="19">
        <f>IF(H59=0,0,O59/H59)</f>
        <v>0.4534005455785406</v>
      </c>
      <c r="Q59" s="17">
        <f>O59-M59</f>
        <v>14.94509</v>
      </c>
      <c r="R59" s="19">
        <f>IF(H59=0,0,Q59/H59)</f>
        <v>0.3397383496249147</v>
      </c>
      <c r="S59" s="15">
        <f>IF((H59-E59-F59-G59-I59-K59)&lt;=0,"never",ROUNDUP($B$15/(H59-E59-F59-G59-I59-K59),0))</f>
        <v>2</v>
      </c>
      <c r="T59" s="15" t="str">
        <f>IF(AND(P59&gt;=$B$10,R59&gt;=$B$11),"PASS","KILL")</f>
        <v>PASS</v>
      </c>
      <c r="U59" s="15" t="inlineStr">
        <is>
          <t>yes, folded into price</t>
        </is>
      </c>
      <c r="V59" s="15" t="inlineStr">
        <is>
          <t>core (under $50)</t>
        </is>
      </c>
      <c r="W59" s="15" t="str">
        <f>IF(H59&lt;=$B$12,"core",IF(H59&lt;=$B$13,"splurge","OUT OF BAND"))</f>
        <v>core</v>
      </c>
      <c r="X59" s="15" t="inlineStr">
        <is>
          <t>estimate: cost = 40% of the US retail seen (Zendrop guide ratio $8 to $12 product on $25 retail); confirm on cjdropshipping.com</t>
        </is>
      </c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inlineStr">
        <is>
          <t>Notes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10" t="inlineStr">
        <is>
          <t>Break-even units/month = fixed monthly cost / (price minus product, inbound shipping, packaging, processing and return allowance). It answers: how many orders a month before the platform and app fees are covered.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10" t="inlineStr">
        <is>
          <t>App fee share = (platform + app monthly) / orders per month, so it already sits inside every unit's cost; break-even is the second way of looking at the same fixed cost.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10" t="inlineStr">
        <is>
          <t>Inbound shipping is the winner supplier's quoted shipping to Georgia (the higher of GA/CA is used where they differ; see Suppliers sheet).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10" t="inlineStr">
        <is>
          <t>Every supplier cost and shipping figure is from search results only (this container cannot open supplier sites); confirm each on the supplier site before pricing goes live. See the Verified? column.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6" customWidth="1" min="4" max="4"/>
    <col width="28" customWidth="1" min="5" max="5"/>
    <col width="32" customWidth="1" min="6" max="6"/>
    <col width="12" customWidth="1" min="7" max="7"/>
    <col width="12" customWidth="1" min="8" max="8"/>
    <col width="18" customWidth="1" min="9" max="9"/>
    <col width="10" customWidth="1" min="10" max="10"/>
    <col width="30" customWidth="1" min="11" max="11"/>
    <col width="18" customWidth="1" min="12" max="12"/>
    <col width="10" customWidth="1" min="13" max="13"/>
    <col width="10" customWidth="1" min="14" max="14"/>
    <col width="10" customWidth="1" min="15" max="15"/>
    <col width="50" customWidth="1" min="16" max="16"/>
    <col width="40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Bank</t>
        </is>
      </c>
      <c r="D1" s="1" t="inlineStr">
        <is>
          <t>Season / window</t>
        </is>
      </c>
      <c r="E1" s="1" t="inlineStr">
        <is>
          <t>Look (slug)</t>
        </is>
      </c>
      <c r="F1" s="1" t="inlineStr">
        <is>
          <t>Look title</t>
        </is>
      </c>
      <c r="G1" s="1" t="inlineStr">
        <is>
          <t>Category</t>
        </is>
      </c>
      <c r="H1" s="1" t="inlineStr">
        <is>
          <t>Colour role</t>
        </is>
      </c>
      <c r="I1" s="1" t="inlineStr">
        <is>
          <t>Winner supplier</t>
        </is>
      </c>
      <c r="J1" s="1" t="inlineStr">
        <is>
          <t>Warehouse</t>
        </is>
      </c>
      <c r="K1" s="1" t="inlineStr">
        <is>
          <t>Delivery window (customer copy)</t>
        </is>
      </c>
      <c r="L1" s="1" t="inlineStr">
        <is>
          <t>Backup supplier</t>
        </is>
      </c>
      <c r="M1" s="1" t="inlineStr">
        <is>
          <t>Sale price ($)</t>
        </is>
      </c>
      <c r="N1" s="1" t="inlineStr">
        <is>
          <t>Gross margin % @ $0 CAC</t>
        </is>
      </c>
      <c r="O1" s="1" t="inlineStr">
        <is>
          <t>Gross margin % @ $5 CAC</t>
        </is>
      </c>
      <c r="P1" s="1" t="inlineStr">
        <is>
          <t>Viral evidence</t>
        </is>
      </c>
      <c r="Q1" s="1" t="inlineStr">
        <is>
          <t>Why it will pin</t>
        </is>
      </c>
      <c r="R1" s="1" t="inlineStr">
        <is>
          <t>Verified?</t>
        </is>
      </c>
    </row>
    <row r="2">
      <c r="A2" s="3" t="inlineStr">
        <is>
          <t>Q01</t>
        </is>
      </c>
      <c r="B2" s="3" t="inlineStr">
        <is>
          <t>Fluffy pink bunny ears headband</t>
        </is>
      </c>
      <c r="C2" s="3" t="inlineStr">
        <is>
          <t>Q4</t>
        </is>
      </c>
      <c r="D2" s="3" t="inlineStr">
        <is>
          <t>Halloween</t>
        </is>
      </c>
      <c r="E2" s="3" t="inlineStr">
        <is>
          <t>pink-halloween-party-at-home-last-call</t>
        </is>
      </c>
      <c r="F2" s="3" t="inlineStr">
        <is>
          <t>Pink Halloween Party at Home, Last Call</t>
        </is>
      </c>
      <c r="G2" s="3" t="inlineStr">
        <is>
          <t>home-decor</t>
        </is>
      </c>
      <c r="H2" s="3" t="inlineStr">
        <is>
          <t>hero pink</t>
        </is>
      </c>
      <c r="I2" s="3" t="inlineStr">
        <is>
          <t>CJ Dropshipping (US warehouse filter)</t>
        </is>
      </c>
      <c r="J2" s="3" t="inlineStr">
        <is>
          <t>US (NJ or CA)</t>
        </is>
      </c>
      <c r="K2" s="3" t="inlineStr">
        <is>
          <t>Ships from our US warehouse in 4 to 9 business days</t>
        </is>
      </c>
      <c r="L2" s="3" t="inlineStr">
        <is>
          <t>Zendrop (Ships From: US filter)</t>
        </is>
      </c>
      <c r="M2" s="20">
        <f>Margins!H20</f>
        <v>32.99</v>
      </c>
      <c r="N2" s="21">
        <f>Margins!P20</f>
        <v>0.4575353137314338</v>
      </c>
      <c r="O2" s="21">
        <f>Margins!R20</f>
        <v>0.3059742346165505</v>
      </c>
      <c r="P2" s="3" t="inlineStr">
        <is>
          <t>TikTok Shop keyword page 'bunny fluffy ears': listing with 4.8K sold at $19.28 (seen in snippet, 27 Sep 2026) https://shop.tiktok.com/us/k/bunny-fluffy-ears</t>
        </is>
      </c>
      <c r="Q2" s="3" t="inlineStr">
        <is>
          <t>The one costume piece that turns a black dress into a party outfit in four seconds, and it goes back in the drawer for Easter.</t>
        </is>
      </c>
      <c r="R2" s="3" t="inlineStr">
        <is>
          <t>estimate: cost = 40% of the US retail seen (Zendrop guide ratio $8 to $12 product on $25 retail); confirm on cjdropshipping.com</t>
        </is>
      </c>
    </row>
    <row r="3">
      <c r="A3" s="3" t="inlineStr">
        <is>
          <t>Q02</t>
        </is>
      </c>
      <c r="B3" s="3" t="inlineStr">
        <is>
          <t>Pink velvet pumpkins, set of 12</t>
        </is>
      </c>
      <c r="C3" s="3" t="inlineStr">
        <is>
          <t>Q4</t>
        </is>
      </c>
      <c r="D3" s="3" t="inlineStr">
        <is>
          <t>Halloween</t>
        </is>
      </c>
      <c r="E3" s="3" t="inlineStr">
        <is>
          <t>pink-halloween-party-at-home-last-call</t>
        </is>
      </c>
      <c r="F3" s="3" t="inlineStr">
        <is>
          <t>Pink Halloween Party at Home, Last Call</t>
        </is>
      </c>
      <c r="G3" s="3" t="inlineStr">
        <is>
          <t>home-decor</t>
        </is>
      </c>
      <c r="H3" s="3" t="inlineStr">
        <is>
          <t>hero pink</t>
        </is>
      </c>
      <c r="I3" s="3" t="inlineStr">
        <is>
          <t>CJ Dropshipping (US warehouse filter)</t>
        </is>
      </c>
      <c r="J3" s="3" t="inlineStr">
        <is>
          <t>US (NJ or CA)</t>
        </is>
      </c>
      <c r="K3" s="3" t="inlineStr">
        <is>
          <t>Ships from our US warehouse in 4 to 9 business days</t>
        </is>
      </c>
      <c r="L3" s="3" t="inlineStr">
        <is>
          <t>Zendrop (Ships From: US filter)</t>
        </is>
      </c>
      <c r="M3" s="20">
        <f>Margins!H21</f>
        <v>35.99</v>
      </c>
      <c r="N3" s="21">
        <f>Margins!P21</f>
        <v>0.4575462628507919</v>
      </c>
      <c r="O3" s="21">
        <f>Margins!R21</f>
        <v>0.3186187829952765</v>
      </c>
      <c r="P3" s="3" t="inlineStr">
        <is>
          <t>Amazon search 'pink velvet pumpkins': listings show 50+ and 100+ bought in past month (Winlyn 7-pc, Amandir 16-pc, Havawish 16-pc) (seen in snippet, 27 Sep 2026) https://www.amazon.com/velvet-pumpkins/s?k=velvet+pumpkins; AliExpress listing 3256804340218119 exists (orders not visible)</t>
        </is>
      </c>
      <c r="Q3" s="3" t="inlineStr">
        <is>
          <t>Velvet pumpkins are the pink Halloween decor that still looks right on the Thanksgiving table, so they earn for eight weeks instead of three.</t>
        </is>
      </c>
      <c r="R3" s="3" t="inlineStr">
        <is>
          <t>estimate: cost = 40% of the US retail seen (Zendrop guide ratio $8 to $12 product on $25 retail); confirm on cjdropshipping.com</t>
        </is>
      </c>
    </row>
    <row r="4">
      <c r="A4" s="3" t="inlineStr">
        <is>
          <t>Q03</t>
        </is>
      </c>
      <c r="B4" s="3" t="inlineStr">
        <is>
          <t>Pink faux fur throw blanket, 50 by 60</t>
        </is>
      </c>
      <c r="C4" s="3" t="inlineStr">
        <is>
          <t>Q4</t>
        </is>
      </c>
      <c r="D4" s="3" t="inlineStr">
        <is>
          <t>Halloween</t>
        </is>
      </c>
      <c r="E4" s="3" t="inlineStr">
        <is>
          <t>pink-halloween-party-at-home-last-call</t>
        </is>
      </c>
      <c r="F4" s="3" t="inlineStr">
        <is>
          <t>Pink Halloween Party at Home, Last Call</t>
        </is>
      </c>
      <c r="G4" s="3" t="inlineStr">
        <is>
          <t>home-decor</t>
        </is>
      </c>
      <c r="H4" s="3" t="inlineStr">
        <is>
          <t>supporting pink</t>
        </is>
      </c>
      <c r="I4" s="3" t="inlineStr">
        <is>
          <t>CJ Dropshipping (US warehouse filter)</t>
        </is>
      </c>
      <c r="J4" s="3" t="inlineStr">
        <is>
          <t>US (NJ or CA)</t>
        </is>
      </c>
      <c r="K4" s="3" t="inlineStr">
        <is>
          <t>Ships from our US warehouse in 4 to 9 business days</t>
        </is>
      </c>
      <c r="L4" s="3" t="inlineStr">
        <is>
          <t>Zendrop (Ships From: US filter)</t>
        </is>
      </c>
      <c r="M4" s="20">
        <f>Margins!H22</f>
        <v>50.99</v>
      </c>
      <c r="N4" s="21">
        <f>Margins!P22</f>
        <v>0.4546399293979212</v>
      </c>
      <c r="O4" s="21">
        <f>Margins!R22</f>
        <v>0.35658148656599337</v>
      </c>
      <c r="P4" s="3" t="inlineStr">
        <is>
          <t>Amazon 'pink faux fur throw blanket': Jungle Star 50x60 100+ bought in past month, Amazon's Choice (seen in snippet, 27 Sep 2026) https://www.amazon.com/pink-fluffy-blanket/s?k=pink+fluffy+blanket; TikTok Shop 'pink blanket fluffy' keyword page notes blankets that 'sold thousands' (unverified)</t>
        </is>
      </c>
      <c r="Q4" s="3" t="inlineStr">
        <is>
          <t>The blanket is what makes a movie-night pin look like a room you want to be in, and pink faux fur photographs like a cloud.</t>
        </is>
      </c>
      <c r="R4" s="3" t="inlineStr">
        <is>
          <t>estimate: cost = 40% of the US retail seen (Zendrop guide ratio $8 to $12 product on $25 retail); confirm on cjdropshipping.com</t>
        </is>
      </c>
    </row>
    <row r="5">
      <c r="A5" s="3" t="inlineStr">
        <is>
          <t>Q04</t>
        </is>
      </c>
      <c r="B5" s="3" t="inlineStr">
        <is>
          <t>Pink velvet throw pillow covers, pair</t>
        </is>
      </c>
      <c r="C5" s="3" t="inlineStr">
        <is>
          <t>Q4</t>
        </is>
      </c>
      <c r="D5" s="3" t="inlineStr">
        <is>
          <t>Halloween</t>
        </is>
      </c>
      <c r="E5" s="3" t="inlineStr">
        <is>
          <t>pink-halloween-party-at-home-last-call</t>
        </is>
      </c>
      <c r="F5" s="3" t="inlineStr">
        <is>
          <t>Pink Halloween Party at Home, Last Call</t>
        </is>
      </c>
      <c r="G5" s="3" t="inlineStr">
        <is>
          <t>home-decor</t>
        </is>
      </c>
      <c r="H5" s="3" t="inlineStr">
        <is>
          <t>supporting pink</t>
        </is>
      </c>
      <c r="I5" s="3" t="inlineStr">
        <is>
          <t>CJ Dropshipping (US warehouse filter)</t>
        </is>
      </c>
      <c r="J5" s="3" t="inlineStr">
        <is>
          <t>US (NJ or CA)</t>
        </is>
      </c>
      <c r="K5" s="3" t="inlineStr">
        <is>
          <t>Ships from our US warehouse in 4 to 9 business days</t>
        </is>
      </c>
      <c r="L5" s="3" t="inlineStr">
        <is>
          <t>Zendrop (Ships From: US filter)</t>
        </is>
      </c>
      <c r="M5" s="20">
        <f>Margins!H23</f>
        <v>28.99</v>
      </c>
      <c r="N5" s="21">
        <f>Margins!P23</f>
        <v>0.4563673680579509</v>
      </c>
      <c r="O5" s="21">
        <f>Margins!R23</f>
        <v>0.2838941014142807</v>
      </c>
      <c r="P5" s="3" t="inlineStr">
        <is>
          <t>Amazon 'pink velvet pillows' 200+ bought in past month; 'pink velvet pillow cover' 50+; 'velvet throw pillow covers' 800+ (seen in snippet, 27 Sep 2026) https://www.amazon.com/Pink-Velvet-Pillows/s?k=Pink+Velvet+Pillows</t>
        </is>
      </c>
      <c r="Q5" s="3" t="inlineStr">
        <is>
          <t>Covers, not pillows, so they ship flat and cheap, and swapping two covers is the cheapest room change on the internet.</t>
        </is>
      </c>
      <c r="R5" s="3" t="inlineStr">
        <is>
          <t>estimate: cost = 40% of the US retail seen (Zendrop guide ratio $8 to $12 product on $25 retail); confirm on cjdropshipping.com</t>
        </is>
      </c>
    </row>
    <row r="6">
      <c r="A6" s="3" t="inlineStr">
        <is>
          <t>Q05</t>
        </is>
      </c>
      <c r="B6" s="3" t="inlineStr">
        <is>
          <t>Pink reusable party cups, 16 oz pack</t>
        </is>
      </c>
      <c r="C6" s="3" t="inlineStr">
        <is>
          <t>Q4</t>
        </is>
      </c>
      <c r="D6" s="3" t="inlineStr">
        <is>
          <t>Halloween</t>
        </is>
      </c>
      <c r="E6" s="3" t="inlineStr">
        <is>
          <t>pink-halloween-party-at-home-last-call</t>
        </is>
      </c>
      <c r="F6" s="3" t="inlineStr">
        <is>
          <t>Pink Halloween Party at Home, Last Call</t>
        </is>
      </c>
      <c r="G6" s="3" t="inlineStr">
        <is>
          <t>home-decor</t>
        </is>
      </c>
      <c r="H6" s="3" t="inlineStr">
        <is>
          <t>neutral (clear pink acrylic)</t>
        </is>
      </c>
      <c r="I6" s="3" t="inlineStr">
        <is>
          <t>CJ Dropshipping (US warehouse filter)</t>
        </is>
      </c>
      <c r="J6" s="3" t="inlineStr">
        <is>
          <t>US (NJ or CA)</t>
        </is>
      </c>
      <c r="K6" s="3" t="inlineStr">
        <is>
          <t>Ships from our US warehouse in 4 to 9 business days</t>
        </is>
      </c>
      <c r="L6" s="3" t="inlineStr">
        <is>
          <t>Zendrop (Ships From: US filter)</t>
        </is>
      </c>
      <c r="M6" s="20">
        <f>Margins!H24</f>
        <v>40.99</v>
      </c>
      <c r="N6" s="21">
        <f>Margins!P24</f>
        <v>0.45186850451329597</v>
      </c>
      <c r="O6" s="21">
        <f>Margins!R24</f>
        <v>0.3298875335447671</v>
      </c>
      <c r="P6" s="3" t="inlineStr">
        <is>
          <t>TikTok Shop keyword page 'pink solo cups': 1.9K sold at $25.99 (seen in snippet, 27 Sep 2026) https://shop.tiktok.com/us/k/pink-solo-cups. IP note: 'Solo' is a trademark; sell as pink party cups.</t>
        </is>
      </c>
      <c r="Q6" s="3" t="inlineStr">
        <is>
          <t>Every Halloween party photo has a cup in it. Make it pink and reusable and the pin works for Galentine's too.</t>
        </is>
      </c>
      <c r="R6" s="3" t="inlineStr">
        <is>
          <t>estimate: cost = 40% of the US retail seen (Zendrop guide ratio $8 to $12 product on $25 retail); confirm on cjdropshipping.com</t>
        </is>
      </c>
    </row>
    <row r="7">
      <c r="A7" s="3" t="inlineStr">
        <is>
          <t>Q06</t>
        </is>
      </c>
      <c r="B7" s="3" t="inlineStr">
        <is>
          <t>Pink velvet Christmas tree bows, 24 pack</t>
        </is>
      </c>
      <c r="C7" s="3" t="inlineStr">
        <is>
          <t>Q4</t>
        </is>
      </c>
      <c r="D7" s="3" t="inlineStr">
        <is>
          <t>Christmas</t>
        </is>
      </c>
      <c r="E7" s="3" t="inlineStr">
        <is>
          <t>the-pink-christmas-tree-edit</t>
        </is>
      </c>
      <c r="F7" s="3" t="inlineStr">
        <is>
          <t>The Pink Christmas Tree Edit</t>
        </is>
      </c>
      <c r="G7" s="3" t="inlineStr">
        <is>
          <t>home-decor</t>
        </is>
      </c>
      <c r="H7" s="3" t="inlineStr">
        <is>
          <t>hero pink</t>
        </is>
      </c>
      <c r="I7" s="3" t="inlineStr">
        <is>
          <t>CJ Dropshipping (US warehouse filter)</t>
        </is>
      </c>
      <c r="J7" s="3" t="inlineStr">
        <is>
          <t>US (NJ or CA)</t>
        </is>
      </c>
      <c r="K7" s="3" t="inlineStr">
        <is>
          <t>Ships from our US warehouse in 4 to 9 business days</t>
        </is>
      </c>
      <c r="L7" s="3" t="inlineStr">
        <is>
          <t>Zendrop (Ships From: US filter)</t>
        </is>
      </c>
      <c r="M7" s="20">
        <f>Margins!H25</f>
        <v>33.99</v>
      </c>
      <c r="N7" s="21">
        <f>Margins!P25</f>
        <v>0.461461900558988</v>
      </c>
      <c r="O7" s="21">
        <f>Margins!R25</f>
        <v>0.3143598117093263</v>
      </c>
      <c r="P7" s="3" t="inlineStr">
        <is>
          <t>Pinterest: 'red bow Christmas tree' searches +200% YoY; Etsy: 'velvet Christmas bow set' searches +120% YoY (bow-trend press via snippet, attribution to Ideal Home unconfirmed); Amazon has 5+ pink velvet bow 24-packs live (B0F9WBK2H4, B0H6XXBWHT, B0FPR3H1JF); TikTok Shop 8-pc pink velvet bows listed at $52 (0 sold, pricing gap)</t>
        </is>
      </c>
      <c r="Q7" s="3" t="inlineStr">
        <is>
          <t>Bows on the tree is the trend, pink is the version nobody's mom already owns, and 24 wired bows fill a 6 ft tree with no other ornament.</t>
        </is>
      </c>
      <c r="R7" s="3" t="inlineStr">
        <is>
          <t>estimate: cost = 40% of the US retail seen (Zendrop guide ratio $8 to $12 product on $25 retail); confirm on cjdropshipping.com</t>
        </is>
      </c>
    </row>
    <row r="8">
      <c r="A8" s="3" t="inlineStr">
        <is>
          <t>Q07</t>
        </is>
      </c>
      <c r="B8" s="3" t="inlineStr">
        <is>
          <t>Pink velvet bow garland, 6 ft</t>
        </is>
      </c>
      <c r="C8" s="3" t="inlineStr">
        <is>
          <t>Q4</t>
        </is>
      </c>
      <c r="D8" s="3" t="inlineStr">
        <is>
          <t>Christmas</t>
        </is>
      </c>
      <c r="E8" s="3" t="inlineStr">
        <is>
          <t>the-pink-christmas-tree-edit</t>
        </is>
      </c>
      <c r="F8" s="3" t="inlineStr">
        <is>
          <t>The Pink Christmas Tree Edit</t>
        </is>
      </c>
      <c r="G8" s="3" t="inlineStr">
        <is>
          <t>home-decor</t>
        </is>
      </c>
      <c r="H8" s="3" t="inlineStr">
        <is>
          <t>hero pink</t>
        </is>
      </c>
      <c r="I8" s="3" t="inlineStr">
        <is>
          <t>CJ Dropshipping (US warehouse filter)</t>
        </is>
      </c>
      <c r="J8" s="3" t="inlineStr">
        <is>
          <t>US (NJ or CA)</t>
        </is>
      </c>
      <c r="K8" s="3" t="inlineStr">
        <is>
          <t>Ships from our US warehouse in 4 to 9 business days</t>
        </is>
      </c>
      <c r="L8" s="3" t="inlineStr">
        <is>
          <t>Zendrop (Ships From: US filter)</t>
        </is>
      </c>
      <c r="M8" s="20">
        <f>Margins!H26</f>
        <v>35.99</v>
      </c>
      <c r="N8" s="21">
        <f>Margins!P26</f>
        <v>0.4575462628507919</v>
      </c>
      <c r="O8" s="21">
        <f>Margins!R26</f>
        <v>0.3186187829952765</v>
      </c>
      <c r="P8" s="3" t="inlineStr">
        <is>
          <t>Same bow-trend signal as Q06 (Pinterest +200% red bow tree, Etsy +120% velvet bow set, via snippet); Pinterest 'Pinkmas decor' and 'Pink holiday aesthetic' idea hubs live (no percentage)</t>
        </is>
      </c>
      <c r="Q8" s="3" t="inlineStr">
        <is>
          <t>One garland does the mantel, the banister and the headboard, and it is the shot that gets saved to 'Pinkmas' boards.</t>
        </is>
      </c>
      <c r="R8" s="3" t="inlineStr">
        <is>
          <t>estimate: cost = 40% of the US retail seen (Zendrop guide ratio $8 to $12 product on $25 retail); confirm on cjdropshipping.com</t>
        </is>
      </c>
    </row>
    <row r="9">
      <c r="A9" s="3" t="inlineStr">
        <is>
          <t>Q08</t>
        </is>
      </c>
      <c r="B9" s="3" t="inlineStr">
        <is>
          <t>Pink shatterproof ornament set, 45 pieces</t>
        </is>
      </c>
      <c r="C9" s="3" t="inlineStr">
        <is>
          <t>Q4</t>
        </is>
      </c>
      <c r="D9" s="3" t="inlineStr">
        <is>
          <t>Christmas</t>
        </is>
      </c>
      <c r="E9" s="3" t="inlineStr">
        <is>
          <t>the-pink-christmas-tree-edit</t>
        </is>
      </c>
      <c r="F9" s="3" t="inlineStr">
        <is>
          <t>The Pink Christmas Tree Edit</t>
        </is>
      </c>
      <c r="G9" s="3" t="inlineStr">
        <is>
          <t>home-decor</t>
        </is>
      </c>
      <c r="H9" s="3" t="inlineStr">
        <is>
          <t>supporting pink (mixed finishes)</t>
        </is>
      </c>
      <c r="I9" s="3" t="inlineStr">
        <is>
          <t>CJ Dropshipping (US warehouse filter)</t>
        </is>
      </c>
      <c r="J9" s="3" t="inlineStr">
        <is>
          <t>US (NJ or CA)</t>
        </is>
      </c>
      <c r="K9" s="3" t="inlineStr">
        <is>
          <t>Ships from our US warehouse in 4 to 9 business days</t>
        </is>
      </c>
      <c r="L9" s="3" t="inlineStr">
        <is>
          <t>Zendrop (Ships From: US filter)</t>
        </is>
      </c>
      <c r="M9" s="20">
        <f>Margins!H27</f>
        <v>43.99</v>
      </c>
      <c r="N9" s="21">
        <f>Margins!P27</f>
        <v>0.4534005455785406</v>
      </c>
      <c r="O9" s="21">
        <f>Margins!R27</f>
        <v>0.3397383496249147</v>
      </c>
      <c r="P9" s="3" t="inlineStr">
        <is>
          <t>Amazon Best Sellers Christmas Ornaments: VAINECHAY 45-pc pink set surfaced in results (rank not visible in snippet); AliExpress reports 97 results for 'pink christmas ornaments balls' (supply depth only). Weak signal, kept because it completes the tree look.</t>
        </is>
      </c>
      <c r="Q9" s="3" t="inlineStr">
        <is>
          <t>Shatterproof means it survives the post office and the dog, and mixed matte, glitter and shiny pink is what makes a tree look styled instead of bought.</t>
        </is>
      </c>
      <c r="R9" s="3" t="inlineStr">
        <is>
          <t>estimate: cost = 40% of the US retail seen (Zendrop guide ratio $8 to $12 product on $25 retail); confirm on cjdropshipping.com</t>
        </is>
      </c>
    </row>
    <row r="10">
      <c r="A10" s="3" t="inlineStr">
        <is>
          <t>Q09</t>
        </is>
      </c>
      <c r="B10" s="3" t="inlineStr">
        <is>
          <t>Pink velvet Christmas stocking with bow</t>
        </is>
      </c>
      <c r="C10" s="3" t="inlineStr">
        <is>
          <t>Q4</t>
        </is>
      </c>
      <c r="D10" s="3" t="inlineStr">
        <is>
          <t>Christmas</t>
        </is>
      </c>
      <c r="E10" s="3" t="inlineStr">
        <is>
          <t>the-pink-christmas-tree-edit</t>
        </is>
      </c>
      <c r="F10" s="3" t="inlineStr">
        <is>
          <t>The Pink Christmas Tree Edit</t>
        </is>
      </c>
      <c r="G10" s="3" t="inlineStr">
        <is>
          <t>home-decor</t>
        </is>
      </c>
      <c r="H10" s="3" t="inlineStr">
        <is>
          <t>supporting pink</t>
        </is>
      </c>
      <c r="I10" s="3" t="inlineStr">
        <is>
          <t>CJ Dropshipping (US warehouse filter)</t>
        </is>
      </c>
      <c r="J10" s="3" t="inlineStr">
        <is>
          <t>US (NJ or CA)</t>
        </is>
      </c>
      <c r="K10" s="3" t="inlineStr">
        <is>
          <t>Ships from our US warehouse in 4 to 9 business days</t>
        </is>
      </c>
      <c r="L10" s="3" t="inlineStr">
        <is>
          <t>Zendrop (Ships From: US filter)</t>
        </is>
      </c>
      <c r="M10" s="20">
        <f>Margins!H28</f>
        <v>26.99</v>
      </c>
      <c r="N10" s="21">
        <f>Margins!P28</f>
        <v>0.46121118932938115</v>
      </c>
      <c r="O10" s="21">
        <f>Margins!R28</f>
        <v>0.27595739162652827</v>
      </c>
      <c r="P10" s="3" t="inlineStr">
        <is>
          <t>Amazon 'pink velvet stocking': category shows 100+ bought in past month; BELISHMIE 20-inch 50+; listings at $6.99 to $26.99 with 200+ to 900+ bought (seen in snippet, 27 Sep 2026) https://www.amazon.com/pink-velvet-stocking/s?k=pink+velvet+stocking</t>
        </is>
      </c>
      <c r="Q10" s="3" t="inlineStr">
        <is>
          <t>The stocking is the gift-guide crossover: it is decor in the pin and the wrapping for the tumbler in the email.</t>
        </is>
      </c>
      <c r="R10" s="3" t="inlineStr">
        <is>
          <t>estimate: cost = 40% of the US retail seen (Zendrop guide ratio $8 to $12 product on $25 retail); confirm on cjdropshipping.com</t>
        </is>
      </c>
    </row>
    <row r="11">
      <c r="A11" s="3" t="inlineStr">
        <is>
          <t>Q10</t>
        </is>
      </c>
      <c r="B11" s="3" t="inlineStr">
        <is>
          <t>Pink flocked tabletop Christmas tree, 2 ft, unlit</t>
        </is>
      </c>
      <c r="C11" s="3" t="inlineStr">
        <is>
          <t>Q4</t>
        </is>
      </c>
      <c r="D11" s="3" t="inlineStr">
        <is>
          <t>Christmas</t>
        </is>
      </c>
      <c r="E11" s="3" t="inlineStr">
        <is>
          <t>the-pink-christmas-tree-edit</t>
        </is>
      </c>
      <c r="F11" s="3" t="inlineStr">
        <is>
          <t>The Pink Christmas Tree Edit</t>
        </is>
      </c>
      <c r="G11" s="3" t="inlineStr">
        <is>
          <t>home-decor</t>
        </is>
      </c>
      <c r="H11" s="3" t="inlineStr">
        <is>
          <t>neutral (white flocking on pink)</t>
        </is>
      </c>
      <c r="I11" s="3" t="inlineStr">
        <is>
          <t>CJ Dropshipping (US warehouse filter)</t>
        </is>
      </c>
      <c r="J11" s="3" t="inlineStr">
        <is>
          <t>US (NJ or CA)</t>
        </is>
      </c>
      <c r="K11" s="3" t="inlineStr">
        <is>
          <t>Ships from our US warehouse in 4 to 9 business days</t>
        </is>
      </c>
      <c r="L11" s="3" t="inlineStr">
        <is>
          <t>Zendrop (Ships From: US filter)</t>
        </is>
      </c>
      <c r="M11" s="20">
        <f>Margins!H29</f>
        <v>50.99</v>
      </c>
      <c r="N11" s="21">
        <f>Margins!P29</f>
        <v>0.4546399293979212</v>
      </c>
      <c r="O11" s="21">
        <f>Margins!R29</f>
        <v>0.35658148656599337</v>
      </c>
      <c r="P11" s="3" t="inlineStr">
        <is>
          <t>Amazon 'pink tinsel christmas tree' and '2ft pink christmas tree': listings show 50+ and 200+ bought in past month (seen in snippet, 27 Sep 2026) https://www.amazon.com/pink-tinsel-tree/s?k=pink+tinsel+tree; TikTok Shop 'pink walmart christmas tree' 11 sold at $189 (weak). Unlit version only (battery-lit trees excluded).</t>
        </is>
      </c>
      <c r="Q11" s="3" t="inlineStr">
        <is>
          <t>A 2 ft pink tree is the dorm, desk and apartment answer to 'I have no room for a tree', and it ships in a shoebox.</t>
        </is>
      </c>
      <c r="R11" s="3" t="inlineStr">
        <is>
          <t>estimate: cost = 40% of the US retail seen (Zendrop guide ratio $8 to $12 product on $25 retail); confirm on cjdropshipping.com</t>
        </is>
      </c>
    </row>
    <row r="12">
      <c r="A12" s="3" t="inlineStr">
        <is>
          <t>Q11</t>
        </is>
      </c>
      <c r="B12" s="3" t="inlineStr">
        <is>
          <t>Pink 40 oz insulated tumbler with handle and straw</t>
        </is>
      </c>
      <c r="C12" s="3" t="inlineStr">
        <is>
          <t>Q4</t>
        </is>
      </c>
      <c r="D12" s="3" t="inlineStr">
        <is>
          <t>Christmas</t>
        </is>
      </c>
      <c r="E12" s="3" t="inlineStr">
        <is>
          <t>pink-gift-guide-stocking-to-new-years-eve</t>
        </is>
      </c>
      <c r="F12" s="3" t="inlineStr">
        <is>
          <t>The Pink Gift Guide, Stocking to New Year's Eve</t>
        </is>
      </c>
      <c r="G12" s="3" t="inlineStr">
        <is>
          <t>gifts</t>
        </is>
      </c>
      <c r="H12" s="3" t="inlineStr">
        <is>
          <t>hero pink</t>
        </is>
      </c>
      <c r="I12" s="3" t="inlineStr">
        <is>
          <t>CJ Dropshipping (US warehouse filter)</t>
        </is>
      </c>
      <c r="J12" s="3" t="inlineStr">
        <is>
          <t>US (NJ or CA)</t>
        </is>
      </c>
      <c r="K12" s="3" t="inlineStr">
        <is>
          <t>Ships from our US warehouse in 4 to 9 business days</t>
        </is>
      </c>
      <c r="L12" s="3" t="inlineStr">
        <is>
          <t>Zendrop (Ships From: US filter)</t>
        </is>
      </c>
      <c r="M12" s="20">
        <f>Margins!H30</f>
        <v>43.99</v>
      </c>
      <c r="N12" s="21">
        <f>Margins!P30</f>
        <v>0.4534005455785406</v>
      </c>
      <c r="O12" s="21">
        <f>Margins!R30</f>
        <v>0.3397383496249147</v>
      </c>
      <c r="P12" s="3" t="inlineStr">
        <is>
          <t>ASINsight 'pink tumbler with straw' report (mid-2026): #1 ASIN B0D6C6GS58 10K monthly sales, #2 B0CQVWT2NH 8K (+20% MoM), #3 7K (seen in snippet) https://www.asinsight.com/report/US/pink-tumbler-with-straw; CJ Dropshipping carries two 40 oz handle tumbler listings with pink options (agent found URLs on cjdropshipping.com)</t>
        </is>
      </c>
      <c r="Q12" s="3" t="inlineStr">
        <is>
          <t>The tumbler is already in every one of her flat lays. Selling the generic pink one herself is the most obvious margin in the bank.</t>
        </is>
      </c>
      <c r="R12" s="3" t="inlineStr">
        <is>
          <t>listing found via search; price not visible in snippet, cost is an estimate; confirm on cjdropshipping.com</t>
        </is>
      </c>
    </row>
    <row r="13">
      <c r="A13" s="3" t="inlineStr">
        <is>
          <t>Q12</t>
        </is>
      </c>
      <c r="B13" s="3" t="inlineStr">
        <is>
          <t>Pink velvet jewelry box with lock</t>
        </is>
      </c>
      <c r="C13" s="3" t="inlineStr">
        <is>
          <t>Q4</t>
        </is>
      </c>
      <c r="D13" s="3" t="inlineStr">
        <is>
          <t>Christmas</t>
        </is>
      </c>
      <c r="E13" s="3" t="inlineStr">
        <is>
          <t>pink-gift-guide-stocking-to-new-years-eve</t>
        </is>
      </c>
      <c r="F13" s="3" t="inlineStr">
        <is>
          <t>The Pink Gift Guide, Stocking to New Year's Eve</t>
        </is>
      </c>
      <c r="G13" s="3" t="inlineStr">
        <is>
          <t>gifts</t>
        </is>
      </c>
      <c r="H13" s="3" t="inlineStr">
        <is>
          <t>hero pink</t>
        </is>
      </c>
      <c r="I13" s="3" t="inlineStr">
        <is>
          <t>CJ Dropshipping (US warehouse filter)</t>
        </is>
      </c>
      <c r="J13" s="3" t="inlineStr">
        <is>
          <t>US (NJ or CA)</t>
        </is>
      </c>
      <c r="K13" s="3" t="inlineStr">
        <is>
          <t>Ships from our US warehouse in 4 to 9 business days</t>
        </is>
      </c>
      <c r="L13" s="3" t="inlineStr">
        <is>
          <t>Zendrop (Ships From: US filter)</t>
        </is>
      </c>
      <c r="M13" s="20">
        <f>Margins!H31</f>
        <v>39.99</v>
      </c>
      <c r="N13" s="21">
        <f>Margins!P31</f>
        <v>0.45088997249312324</v>
      </c>
      <c r="O13" s="21">
        <f>Margins!R31</f>
        <v>0.3258587146786696</v>
      </c>
      <c r="P13" s="3" t="inlineStr">
        <is>
          <t>Amazon 'pink jewelry box' 100+ bought in past month; 'pink jewelry gift box' 200+; QBestry velvet box with lock B09SFQ2VGR 50+ (seen in snippet, 27 Sep 2026); TikTok Shop hot-pink jewelry box page $9.99 to $89.99, 'thousands sold' (unverified)</t>
        </is>
      </c>
      <c r="Q13" s="3" t="inlineStr">
        <is>
          <t>A velvet box open on the vanity is the definitive 'gift for her' image, and it holds the price point a stocking stuffer can't.</t>
        </is>
      </c>
      <c r="R13" s="3" t="inlineStr">
        <is>
          <t>estimate: cost = 40% of the US retail seen (Zendrop guide ratio $8 to $12 product on $25 retail); confirm on cjdropshipping.com</t>
        </is>
      </c>
    </row>
    <row r="14">
      <c r="A14" s="3" t="inlineStr">
        <is>
          <t>Q13</t>
        </is>
      </c>
      <c r="B14" s="3" t="inlineStr">
        <is>
          <t>Blush pink packing cubes, 8 piece set</t>
        </is>
      </c>
      <c r="C14" s="3" t="inlineStr">
        <is>
          <t>Q4</t>
        </is>
      </c>
      <c r="D14" s="3" t="inlineStr">
        <is>
          <t>Christmas</t>
        </is>
      </c>
      <c r="E14" s="3" t="inlineStr">
        <is>
          <t>pink-gift-guide-stocking-to-new-years-eve</t>
        </is>
      </c>
      <c r="F14" s="3" t="inlineStr">
        <is>
          <t>The Pink Gift Guide, Stocking to New Year's Eve</t>
        </is>
      </c>
      <c r="G14" s="3" t="inlineStr">
        <is>
          <t>gifts</t>
        </is>
      </c>
      <c r="H14" s="3" t="inlineStr">
        <is>
          <t>supporting pink</t>
        </is>
      </c>
      <c r="I14" s="3" t="inlineStr">
        <is>
          <t>CJ Dropshipping (US warehouse filter)</t>
        </is>
      </c>
      <c r="J14" s="3" t="inlineStr">
        <is>
          <t>US (NJ or CA)</t>
        </is>
      </c>
      <c r="K14" s="3" t="inlineStr">
        <is>
          <t>Ships from our US warehouse in 4 to 9 business days</t>
        </is>
      </c>
      <c r="L14" s="3" t="inlineStr">
        <is>
          <t>Zendrop (Ships From: US filter)</t>
        </is>
      </c>
      <c r="M14" s="20">
        <f>Margins!H32</f>
        <v>35.99</v>
      </c>
      <c r="N14" s="21">
        <f>Margins!P32</f>
        <v>0.4575462628507919</v>
      </c>
      <c r="O14" s="21">
        <f>Margins!R32</f>
        <v>0.3186187829952765</v>
      </c>
      <c r="P14" s="3" t="inlineStr">
        <is>
          <t>Amazon 'pink packing cubes': listings show 50+ up to 4K+ bought in past month (seen in snippet, 27 Sep 2026) https://www.amazon.com/pink-packing-cubes/s?k=pink+packing+cubes; AliExpress 7-pc set with pink option item 1005009997537438 (price not visible)</t>
        </is>
      </c>
      <c r="Q14" s="3" t="inlineStr">
        <is>
          <t>Packing cubes are the gift that gets used in January, and the 'pack with me' pin format is a Pinterest staple.</t>
        </is>
      </c>
      <c r="R14" s="3" t="inlineStr">
        <is>
          <t>estimate: cost = 40% of the US retail seen (Zendrop guide ratio $8 to $12 product on $25 retail); confirm on cjdropshipping.com</t>
        </is>
      </c>
    </row>
    <row r="15">
      <c r="A15" s="3" t="inlineStr">
        <is>
          <t>Q14</t>
        </is>
      </c>
      <c r="B15" s="3" t="inlineStr">
        <is>
          <t>Pink satin sleep bonnet, adjustable</t>
        </is>
      </c>
      <c r="C15" s="3" t="inlineStr">
        <is>
          <t>Q4</t>
        </is>
      </c>
      <c r="D15" s="3" t="inlineStr">
        <is>
          <t>Christmas</t>
        </is>
      </c>
      <c r="E15" s="3" t="inlineStr">
        <is>
          <t>pink-gift-guide-stocking-to-new-years-eve</t>
        </is>
      </c>
      <c r="F15" s="3" t="inlineStr">
        <is>
          <t>The Pink Gift Guide, Stocking to New Year's Eve</t>
        </is>
      </c>
      <c r="G15" s="3" t="inlineStr">
        <is>
          <t>gifts</t>
        </is>
      </c>
      <c r="H15" s="3" t="inlineStr">
        <is>
          <t>supporting pink</t>
        </is>
      </c>
      <c r="I15" s="3" t="inlineStr">
        <is>
          <t>CJ Dropshipping (US warehouse filter)</t>
        </is>
      </c>
      <c r="J15" s="3" t="inlineStr">
        <is>
          <t>US (NJ or CA)</t>
        </is>
      </c>
      <c r="K15" s="3" t="inlineStr">
        <is>
          <t>Ships from our US warehouse in 4 to 9 business days</t>
        </is>
      </c>
      <c r="L15" s="3" t="inlineStr">
        <is>
          <t>Zendrop (Ships From: US filter)</t>
        </is>
      </c>
      <c r="M15" s="20">
        <f>Margins!H33</f>
        <v>22.99</v>
      </c>
      <c r="N15" s="21">
        <f>Margins!P33</f>
        <v>0.4951757285776424</v>
      </c>
      <c r="O15" s="21">
        <f>Margins!R33</f>
        <v>0.27768986515876465</v>
      </c>
      <c r="P15" s="3" t="inlineStr">
        <is>
          <t>TikTok Shop keyword page 'hair bonnets': product card with 351.2K sold; 'satin bonnet before and after' cards 1.3K to 179K sold (seen in snippet, 27 Sep 2026) https://shop.tiktok.com/us/k/hair-bonnets; CJ Dropshipping listing found: satin bonnet with tie band, pink option https://cjdropshipping.com/product/new-silk-bonnet-for-sleeping-women-satin-bonnet-hair-bonnet-night-sleep-cap-scarf-wrap-for-curly-hair-with-tie-band-for-curly-hair-p-2407140638471615000.html</t>
        </is>
      </c>
      <c r="Q15" s="3" t="inlineStr">
        <is>
          <t>The under-$25 stocking stuffer with the biggest sold count in the whole bank, and it reads as self-care, not hair care.</t>
        </is>
      </c>
      <c r="R15" s="3" t="inlineStr">
        <is>
          <t>listing found via search; price not visible in snippet, cost is an estimate; confirm on cjdropshipping.com</t>
        </is>
      </c>
    </row>
    <row r="16">
      <c r="A16" s="3" t="inlineStr">
        <is>
          <t>Q15</t>
        </is>
      </c>
      <c r="B16" s="3" t="inlineStr">
        <is>
          <t>Pink bow champagne flutes, set of 2</t>
        </is>
      </c>
      <c r="C16" s="3" t="inlineStr">
        <is>
          <t>Q4</t>
        </is>
      </c>
      <c r="D16" s="3" t="inlineStr">
        <is>
          <t>Christmas</t>
        </is>
      </c>
      <c r="E16" s="3" t="inlineStr">
        <is>
          <t>pink-gift-guide-stocking-to-new-years-eve</t>
        </is>
      </c>
      <c r="F16" s="3" t="inlineStr">
        <is>
          <t>The Pink Gift Guide, Stocking to New Year's Eve</t>
        </is>
      </c>
      <c r="G16" s="3" t="inlineStr">
        <is>
          <t>gifts</t>
        </is>
      </c>
      <c r="H16" s="3" t="inlineStr">
        <is>
          <t>neutral (clear glass, pink bow)</t>
        </is>
      </c>
      <c r="I16" s="3" t="inlineStr">
        <is>
          <t>CJ Dropshipping (US warehouse filter)</t>
        </is>
      </c>
      <c r="J16" s="3" t="inlineStr">
        <is>
          <t>US (NJ or CA)</t>
        </is>
      </c>
      <c r="K16" s="3" t="inlineStr">
        <is>
          <t>Ships from our US warehouse in 4 to 9 business days</t>
        </is>
      </c>
      <c r="L16" s="3" t="inlineStr">
        <is>
          <t>Zendrop (Ships From: US filter)</t>
        </is>
      </c>
      <c r="M16" s="20">
        <f>Margins!H34</f>
        <v>39.99</v>
      </c>
      <c r="N16" s="21">
        <f>Margins!P34</f>
        <v>0.45088997249312324</v>
      </c>
      <c r="O16" s="21">
        <f>Margins!R34</f>
        <v>0.3258587146786696</v>
      </c>
      <c r="P16" s="3" t="inlineStr">
        <is>
          <t>Amazon 'pink champagne flutes set bow': Irosiy tower set with 25 pink bows 50+ bought in past month; 4+ pink-bow flute sets live (B0F2F2QJD2, B0DTYKRP8D, B0F66DXF9B) (seen in snippet, 27 Sep 2026); TikTok Shop adjacent flute listings 56 sold (weak)</t>
        </is>
      </c>
      <c r="Q16" s="3" t="inlineStr">
        <is>
          <t>Two bow flutes is the New Year's Eve pin and the Galentine's pin, and the gift box does the wrapping for her.</t>
        </is>
      </c>
      <c r="R16" s="3" t="inlineStr">
        <is>
          <t>estimate: cost = 40% of the US retail seen (Zendrop guide ratio $8 to $12 product on $25 retail); confirm on cjdropshipping.com</t>
        </is>
      </c>
    </row>
    <row r="17">
      <c r="A17" s="3" t="inlineStr">
        <is>
          <t>Q16</t>
        </is>
      </c>
      <c r="B17" s="3" t="inlineStr">
        <is>
          <t>Pink 2027 weekly and monthly planner, hardcover</t>
        </is>
      </c>
      <c r="C17" s="3" t="inlineStr">
        <is>
          <t>Q4</t>
        </is>
      </c>
      <c r="D17" s="3" t="inlineStr">
        <is>
          <t>Christmas</t>
        </is>
      </c>
      <c r="E17" s="3" t="inlineStr">
        <is>
          <t>pink-gift-guide-stocking-to-new-years-eve</t>
        </is>
      </c>
      <c r="F17" s="3" t="inlineStr">
        <is>
          <t>The Pink Gift Guide, Stocking to New Year's Eve</t>
        </is>
      </c>
      <c r="G17" s="3" t="inlineStr">
        <is>
          <t>gifts</t>
        </is>
      </c>
      <c r="H17" s="3" t="inlineStr">
        <is>
          <t>supporting pink</t>
        </is>
      </c>
      <c r="I17" s="3" t="inlineStr">
        <is>
          <t>CJ Dropshipping (US warehouse filter)</t>
        </is>
      </c>
      <c r="J17" s="3" t="inlineStr">
        <is>
          <t>US (NJ or CA)</t>
        </is>
      </c>
      <c r="K17" s="3" t="inlineStr">
        <is>
          <t>Ships from our US warehouse in 4 to 9 business days</t>
        </is>
      </c>
      <c r="L17" s="3" t="inlineStr">
        <is>
          <t>Zendrop (Ships From: US filter)</t>
        </is>
      </c>
      <c r="M17" s="20">
        <f>Margins!H35</f>
        <v>33.99</v>
      </c>
      <c r="N17" s="21">
        <f>Margins!P35</f>
        <v>0.461461900558988</v>
      </c>
      <c r="O17" s="21">
        <f>Margins!R35</f>
        <v>0.3143598117093263</v>
      </c>
      <c r="P17" s="3" t="inlineStr">
        <is>
          <t>Amazon '2027 planner pink': spiral weekly and monthly pink planners show 1K+ and 2K+ bought in past month; 2027 pink leather hardcover planner B0F9WSNGZM live (seen in snippet, 27 Sep 2026) https://www.amazon.com/2027-planner/s?k=2027+planner</t>
        </is>
      </c>
      <c r="Q17" s="3" t="inlineStr">
        <is>
          <t>The planner is the New Year's product that sells from Black Friday to the second week of January, and it anchors the desk flat lay.</t>
        </is>
      </c>
      <c r="R17" s="3" t="inlineStr">
        <is>
          <t>estimate: cost = 40% of the US retail seen (Zendrop guide ratio $8 to $12 product on $25 retail); confirm on cjdropshipping.com</t>
        </is>
      </c>
    </row>
    <row r="18">
      <c r="A18" s="3" t="inlineStr">
        <is>
          <t>E01</t>
        </is>
      </c>
      <c r="B18" s="3" t="inlineStr">
        <is>
          <t>Pink PU leather desk mat, large</t>
        </is>
      </c>
      <c r="C18" s="3" t="inlineStr">
        <is>
          <t>Evergreen</t>
        </is>
      </c>
      <c r="D18" s="3" t="inlineStr">
        <is>
          <t>Evergreen</t>
        </is>
      </c>
      <c r="E18" s="3" t="inlineStr">
        <is>
          <t>the-law-school-desk-and-bag-setup-all-pink</t>
        </is>
      </c>
      <c r="F18" s="3" t="inlineStr">
        <is>
          <t>The Law School Desk and Bag Setup, All Pink</t>
        </is>
      </c>
      <c r="G18" s="3" t="inlineStr">
        <is>
          <t>dorm</t>
        </is>
      </c>
      <c r="H18" s="3" t="inlineStr">
        <is>
          <t>hero pink</t>
        </is>
      </c>
      <c r="I18" s="3" t="inlineStr">
        <is>
          <t>CJ Dropshipping (US warehouse filter)</t>
        </is>
      </c>
      <c r="J18" s="3" t="inlineStr">
        <is>
          <t>US (NJ or CA)</t>
        </is>
      </c>
      <c r="K18" s="3" t="inlineStr">
        <is>
          <t>Ships from our US warehouse in 4 to 9 business days</t>
        </is>
      </c>
      <c r="L18" s="3" t="inlineStr">
        <is>
          <t>Zendrop (Ships From: US filter)</t>
        </is>
      </c>
      <c r="M18" s="20">
        <f>Margins!H36</f>
        <v>30.99</v>
      </c>
      <c r="N18" s="21">
        <f>Margins!P36</f>
        <v>0.45214875766376245</v>
      </c>
      <c r="O18" s="21">
        <f>Margins!R36</f>
        <v>0.2908063891577928</v>
      </c>
      <c r="P18" s="3" t="inlineStr">
        <is>
          <t>ASINsight 'pink desk pad' report (Jun 2026): #1 ASIN B09DV56338 est. 10,000 monthly sales, #2 6K, #3 5K; $10 to $20 is 59% of the assortment (seen in snippet) https://www.asinsight.com/report/US/pink-desk-pad; TikTok Shop pink leather desk mat 174 sold; AliExpress felt mat 10,000+ sold at $0.99</t>
        </is>
      </c>
      <c r="Q18" s="3" t="inlineStr">
        <is>
          <t>The desk mat is the first thing in frame on every 'pink desk setup' pin, and it is the cheapest way to make a rental desk look intentional.</t>
        </is>
      </c>
      <c r="R18" s="3" t="inlineStr">
        <is>
          <t>estimate: cost = 40% of the US retail seen (Zendrop guide ratio $8 to $12 product on $25 retail); confirm on cjdropshipping.com</t>
        </is>
      </c>
    </row>
    <row r="19">
      <c r="A19" s="3" t="inlineStr">
        <is>
          <t>E02</t>
        </is>
      </c>
      <c r="B19" s="3" t="inlineStr">
        <is>
          <t>Pink acrylic desk organizer with pen cup</t>
        </is>
      </c>
      <c r="C19" s="3" t="inlineStr">
        <is>
          <t>Evergreen</t>
        </is>
      </c>
      <c r="D19" s="3" t="inlineStr">
        <is>
          <t>Evergreen</t>
        </is>
      </c>
      <c r="E19" s="3" t="inlineStr">
        <is>
          <t>the-law-school-desk-and-bag-setup-all-pink</t>
        </is>
      </c>
      <c r="F19" s="3" t="inlineStr">
        <is>
          <t>The Law School Desk and Bag Setup, All Pink</t>
        </is>
      </c>
      <c r="G19" s="3" t="inlineStr">
        <is>
          <t>dorm</t>
        </is>
      </c>
      <c r="H19" s="3" t="inlineStr">
        <is>
          <t>hero pink</t>
        </is>
      </c>
      <c r="I19" s="3" t="inlineStr">
        <is>
          <t>CJ Dropshipping (US warehouse filter)</t>
        </is>
      </c>
      <c r="J19" s="3" t="inlineStr">
        <is>
          <t>US (NJ or CA)</t>
        </is>
      </c>
      <c r="K19" s="3" t="inlineStr">
        <is>
          <t>Ships from our US warehouse in 4 to 9 business days</t>
        </is>
      </c>
      <c r="L19" s="3" t="inlineStr">
        <is>
          <t>Zendrop (Ships From: US filter)</t>
        </is>
      </c>
      <c r="M19" s="20">
        <f>Margins!H37</f>
        <v>30.99</v>
      </c>
      <c r="N19" s="21">
        <f>Margins!P37</f>
        <v>0.45214875766376245</v>
      </c>
      <c r="O19" s="21">
        <f>Margins!R37</f>
        <v>0.2908063891577928</v>
      </c>
      <c r="P19" s="3" t="inlineStr">
        <is>
          <t>Amazon 'pink acrylic desk organizer': listing with 100+ bought in past month at $13.99; category up to 4K+ (seen in snippet, 27 Sep 2026); TikTok Shop pink desk accessories 13 to 1.3K sold; AliExpress hot pink mesh organizer $6.79 (item 32824372086, seen)</t>
        </is>
      </c>
      <c r="Q19" s="3" t="inlineStr">
        <is>
          <t>An organizer is what makes a messy desk pin-able, and acrylic pink reads expensive from three feet away.</t>
        </is>
      </c>
      <c r="R19" s="3" t="inlineStr">
        <is>
          <t>estimate: cost = 40% of the US retail seen (Zendrop guide ratio $8 to $12 product on $25 retail); confirm on cjdropshipping.com</t>
        </is>
      </c>
    </row>
    <row r="20">
      <c r="A20" s="3" t="inlineStr">
        <is>
          <t>E03</t>
        </is>
      </c>
      <c r="B20" s="3" t="inlineStr">
        <is>
          <t>Pink desk stationery set (stapler, tape dispenser, scissors, clips)</t>
        </is>
      </c>
      <c r="C20" s="3" t="inlineStr">
        <is>
          <t>Evergreen</t>
        </is>
      </c>
      <c r="D20" s="3" t="inlineStr">
        <is>
          <t>Evergreen</t>
        </is>
      </c>
      <c r="E20" s="3" t="inlineStr">
        <is>
          <t>the-law-school-desk-and-bag-setup-all-pink</t>
        </is>
      </c>
      <c r="F20" s="3" t="inlineStr">
        <is>
          <t>The Law School Desk and Bag Setup, All Pink</t>
        </is>
      </c>
      <c r="G20" s="3" t="inlineStr">
        <is>
          <t>dorm</t>
        </is>
      </c>
      <c r="H20" s="3" t="inlineStr">
        <is>
          <t>supporting pink</t>
        </is>
      </c>
      <c r="I20" s="3" t="inlineStr">
        <is>
          <t>CJ Dropshipping (US warehouse filter)</t>
        </is>
      </c>
      <c r="J20" s="3" t="inlineStr">
        <is>
          <t>US (NJ or CA)</t>
        </is>
      </c>
      <c r="K20" s="3" t="inlineStr">
        <is>
          <t>Ships from our US warehouse in 4 to 9 business days</t>
        </is>
      </c>
      <c r="L20" s="3" t="inlineStr">
        <is>
          <t>Zendrop (Ships From: US filter)</t>
        </is>
      </c>
      <c r="M20" s="20">
        <f>Margins!H38</f>
        <v>33.99</v>
      </c>
      <c r="N20" s="21">
        <f>Margins!P38</f>
        <v>0.461461900558988</v>
      </c>
      <c r="O20" s="21">
        <f>Margins!R38</f>
        <v>0.3143598117093263</v>
      </c>
      <c r="P20" s="3" t="inlineStr">
        <is>
          <t>Amazon 'pink office supplies' set: 500+ bought in past month; Knamoda pink mini stapler 2K+; UPIHO set 200+; WORKPRO 300+ (seen in snippet, 27 Sep 2026) https://www.amazon.com/pink-office-supplies/s?k=pink+office+supplies</t>
        </is>
      </c>
      <c r="Q20" s="3" t="inlineStr">
        <is>
          <t>Nobody buys a pink stapler on purpose until they see it in a flat lay. Then they buy the set.</t>
        </is>
      </c>
      <c r="R20" s="3" t="inlineStr">
        <is>
          <t>estimate: cost = 40% of the US retail seen (Zendrop guide ratio $8 to $12 product on $25 retail); confirm on cjdropshipping.com</t>
        </is>
      </c>
    </row>
    <row r="21">
      <c r="A21" s="3" t="inlineStr">
        <is>
          <t>E04</t>
        </is>
      </c>
      <c r="B21" s="3" t="inlineStr">
        <is>
          <t>Pink aesthetic sticky notes and tabs set</t>
        </is>
      </c>
      <c r="C21" s="3" t="inlineStr">
        <is>
          <t>Evergreen</t>
        </is>
      </c>
      <c r="D21" s="3" t="inlineStr">
        <is>
          <t>Evergreen</t>
        </is>
      </c>
      <c r="E21" s="3" t="inlineStr">
        <is>
          <t>the-law-school-desk-and-bag-setup-all-pink</t>
        </is>
      </c>
      <c r="F21" s="3" t="inlineStr">
        <is>
          <t>The Law School Desk and Bag Setup, All Pink</t>
        </is>
      </c>
      <c r="G21" s="3" t="inlineStr">
        <is>
          <t>dorm</t>
        </is>
      </c>
      <c r="H21" s="3" t="inlineStr">
        <is>
          <t>supporting pink</t>
        </is>
      </c>
      <c r="I21" s="3" t="inlineStr">
        <is>
          <t>CJ Dropshipping (US warehouse filter)</t>
        </is>
      </c>
      <c r="J21" s="3" t="inlineStr">
        <is>
          <t>US (NJ or CA)</t>
        </is>
      </c>
      <c r="K21" s="3" t="inlineStr">
        <is>
          <t>Ships from our US warehouse in 4 to 9 business days</t>
        </is>
      </c>
      <c r="L21" s="3" t="inlineStr">
        <is>
          <t>Zendrop (Ships From: US filter)</t>
        </is>
      </c>
      <c r="M21" s="20">
        <f>Margins!H39</f>
        <v>22.99</v>
      </c>
      <c r="N21" s="21">
        <f>Margins!P39</f>
        <v>0.4951757285776424</v>
      </c>
      <c r="O21" s="21">
        <f>Margins!R39</f>
        <v>0.27768986515876465</v>
      </c>
      <c r="P21" s="3" t="inlineStr">
        <is>
          <t>Amazon 'pink sticky notes': vintage-aesthetic listing 200+ bought in past month; 'pink sticky tabs' 300+ (seen in snippet, 27 Sep 2026) https://www.amazon.com/pink-sticky-notes/s?k=pink+sticky+notes</t>
        </is>
      </c>
      <c r="Q21" s="3" t="inlineStr">
        <is>
          <t>The case-brief kit in one pack: it is the detail shot that makes the desk pin feel like a real study session.</t>
        </is>
      </c>
      <c r="R21" s="3" t="inlineStr">
        <is>
          <t>estimate: cost = 40% of the US retail seen (Zendrop guide ratio $8 to $12 product on $25 retail); confirm on cjdropshipping.com</t>
        </is>
      </c>
    </row>
    <row r="22">
      <c r="A22" s="3" t="inlineStr">
        <is>
          <t>E05</t>
        </is>
      </c>
      <c r="B22" s="3" t="inlineStr">
        <is>
          <t>Pink wooden monitor riser with drawer</t>
        </is>
      </c>
      <c r="C22" s="3" t="inlineStr">
        <is>
          <t>Evergreen</t>
        </is>
      </c>
      <c r="D22" s="3" t="inlineStr">
        <is>
          <t>Evergreen</t>
        </is>
      </c>
      <c r="E22" s="3" t="inlineStr">
        <is>
          <t>the-law-school-desk-and-bag-setup-all-pink</t>
        </is>
      </c>
      <c r="F22" s="3" t="inlineStr">
        <is>
          <t>The Law School Desk and Bag Setup, All Pink</t>
        </is>
      </c>
      <c r="G22" s="3" t="inlineStr">
        <is>
          <t>dorm</t>
        </is>
      </c>
      <c r="H22" s="3" t="inlineStr">
        <is>
          <t>neutral (natural wood, pink drawer)</t>
        </is>
      </c>
      <c r="I22" s="3" t="inlineStr">
        <is>
          <t>CJ Dropshipping (US warehouse filter)</t>
        </is>
      </c>
      <c r="J22" s="3" t="inlineStr">
        <is>
          <t>US (NJ or CA)</t>
        </is>
      </c>
      <c r="K22" s="3" t="inlineStr">
        <is>
          <t>Ships from our US warehouse in 4 to 9 business days</t>
        </is>
      </c>
      <c r="L22" s="3" t="inlineStr">
        <is>
          <t>Zendrop (Ships From: US filter)</t>
        </is>
      </c>
      <c r="M22" s="20">
        <f>Margins!H40</f>
        <v>54.99</v>
      </c>
      <c r="N22" s="21">
        <f>Margins!P40</f>
        <v>0.4500107292234952</v>
      </c>
      <c r="O22" s="21">
        <f>Margins!R40</f>
        <v>0.35908510638297875</v>
      </c>
      <c r="P22" s="3" t="inlineStr">
        <is>
          <t>Amazon TEAMIX pink monitor stand riser with storage B0CB2YKYST 50+ bought in past month; category 500+ (seen in snippet, 27 Sep 2026); AliExpress listing $30.50 (seen; likely includes shipping, so treated as the non-US cost)</t>
        </is>
      </c>
      <c r="Q22" s="3" t="inlineStr">
        <is>
          <t>The riser is the one piece that gives the desk pin height and a place to hide the cables, and wood is the neutral every pink look needs.</t>
        </is>
      </c>
      <c r="R22" s="3" t="inlineStr">
        <is>
          <t>estimate: cost = 40% of the US retail seen (Zendrop guide ratio $8 to $12 product on $25 retail); confirm on cjdropshipping.com</t>
        </is>
      </c>
    </row>
    <row r="23">
      <c r="A23" s="3" t="inlineStr">
        <is>
          <t>E06</t>
        </is>
      </c>
      <c r="B23" s="3" t="inlineStr">
        <is>
          <t>Cream laptop sleeve with pink bow, 13 to 14 inch</t>
        </is>
      </c>
      <c r="C23" s="3" t="inlineStr">
        <is>
          <t>Evergreen</t>
        </is>
      </c>
      <c r="D23" s="3" t="inlineStr">
        <is>
          <t>Evergreen</t>
        </is>
      </c>
      <c r="E23" s="3" t="inlineStr">
        <is>
          <t>the-law-school-desk-and-bag-setup-all-pink</t>
        </is>
      </c>
      <c r="F23" s="3" t="inlineStr">
        <is>
          <t>The Law School Desk and Bag Setup, All Pink</t>
        </is>
      </c>
      <c r="G23" s="3" t="inlineStr">
        <is>
          <t>dorm</t>
        </is>
      </c>
      <c r="H23" s="3" t="inlineStr">
        <is>
          <t>neutral (cream)</t>
        </is>
      </c>
      <c r="I23" s="3" t="inlineStr">
        <is>
          <t>CJ Dropshipping (US warehouse filter)</t>
        </is>
      </c>
      <c r="J23" s="3" t="inlineStr">
        <is>
          <t>US (NJ or CA)</t>
        </is>
      </c>
      <c r="K23" s="3" t="inlineStr">
        <is>
          <t>Ships from our US warehouse in 4 to 9 business days</t>
        </is>
      </c>
      <c r="L23" s="3" t="inlineStr">
        <is>
          <t>Zendrop (Ships From: US filter)</t>
        </is>
      </c>
      <c r="M23" s="20">
        <f>Margins!H41</f>
        <v>28.99</v>
      </c>
      <c r="N23" s="21">
        <f>Margins!P41</f>
        <v>0.4563673680579509</v>
      </c>
      <c r="O23" s="21">
        <f>Margins!R41</f>
        <v>0.2838941014142807</v>
      </c>
      <c r="P23" s="3" t="inlineStr">
        <is>
          <t>ASINsight 'pink computer case' report: #1 ASIN B0GSR7CXX5 est. 2,000 monthly sales, +100% MoM (seen in snippet) https://www.asinsight.com/report/US/pink-computer-case; Amazon MOSISO baby pink sleeve 2K+ bought in past month; pink bow faux-leather sleeve 200+; TikTok Shop 96 sold at $12.17</t>
        </is>
      </c>
      <c r="Q23" s="3" t="inlineStr">
        <is>
          <t>The sleeve is the neutral that stops the desk from reading as a toy shop, and a bow on cream is still pink at heart.</t>
        </is>
      </c>
      <c r="R23" s="3" t="inlineStr">
        <is>
          <t>estimate: cost = 40% of the US retail seen (Zendrop guide ratio $8 to $12 product on $25 retail); confirm on cjdropshipping.com</t>
        </is>
      </c>
    </row>
    <row r="24">
      <c r="A24" s="3" t="inlineStr">
        <is>
          <t>E07</t>
        </is>
      </c>
      <c r="B24" s="3" t="inlineStr">
        <is>
          <t>Pink quilted puffer laptop tote</t>
        </is>
      </c>
      <c r="C24" s="3" t="inlineStr">
        <is>
          <t>Evergreen</t>
        </is>
      </c>
      <c r="D24" s="3" t="inlineStr">
        <is>
          <t>Evergreen</t>
        </is>
      </c>
      <c r="E24" s="3" t="inlineStr">
        <is>
          <t>the-law-school-desk-and-bag-setup-all-pink</t>
        </is>
      </c>
      <c r="F24" s="3" t="inlineStr">
        <is>
          <t>The Law School Desk and Bag Setup, All Pink</t>
        </is>
      </c>
      <c r="G24" s="3" t="inlineStr">
        <is>
          <t>accessories</t>
        </is>
      </c>
      <c r="H24" s="3" t="inlineStr">
        <is>
          <t>hero pink</t>
        </is>
      </c>
      <c r="I24" s="3" t="inlineStr">
        <is>
          <t>CJ Dropshipping (US warehouse filter)</t>
        </is>
      </c>
      <c r="J24" s="3" t="inlineStr">
        <is>
          <t>US (NJ or CA)</t>
        </is>
      </c>
      <c r="K24" s="3" t="inlineStr">
        <is>
          <t>Ships from our US warehouse in 4 to 9 business days</t>
        </is>
      </c>
      <c r="L24" s="3" t="inlineStr">
        <is>
          <t>Zendrop (Ships From: US filter)</t>
        </is>
      </c>
      <c r="M24" s="20">
        <f>Margins!H42</f>
        <v>44.99</v>
      </c>
      <c r="N24" s="21">
        <f>Margins!P42</f>
        <v>0.4553476328072905</v>
      </c>
      <c r="O24" s="21">
        <f>Margins!R42</f>
        <v>0.34421182484996665</v>
      </c>
      <c r="P24" s="3" t="inlineStr">
        <is>
          <t>ASINsight 'pink puffer tote bag' report: #1 ASIN B0CKYZWDPT 7K monthly sales; B0DHYZ2GFK +100% MoM (seen in snippet) https://www.asinsight.com/report/US/pink-puffer-tote-bag; Amazon pink laptop tote 1K+ bought in past month; CJ mobile listing 1392009095543918592 found (details not visible)</t>
        </is>
      </c>
      <c r="Q24" s="3" t="inlineStr">
        <is>
          <t>The work bag that fits the laptop and still looks like it belongs to someone who has a life. Puffer means it weighs nothing and ships flat.</t>
        </is>
      </c>
      <c r="R24" s="3" t="inlineStr">
        <is>
          <t>listing found via search; price not visible in snippet, cost is an estimate; confirm on cjdropshipping.com</t>
        </is>
      </c>
    </row>
    <row r="25">
      <c r="A25" s="3" t="inlineStr">
        <is>
          <t>E08</t>
        </is>
      </c>
      <c r="B25" s="3" t="inlineStr">
        <is>
          <t>Fluffy pink steering wheel cover, universal 15 inch</t>
        </is>
      </c>
      <c r="C25" s="3" t="inlineStr">
        <is>
          <t>Evergreen</t>
        </is>
      </c>
      <c r="D25" s="3" t="inlineStr">
        <is>
          <t>Evergreen</t>
        </is>
      </c>
      <c r="E25" s="3" t="inlineStr">
        <is>
          <t>pink-car-accessories-that-make-every-red-light-feel-like-a-photo-shoot</t>
        </is>
      </c>
      <c r="F25" s="3" t="inlineStr">
        <is>
          <t>Pink Car Accessories That Make Every Red Light Feel Like a Photo Shoot</t>
        </is>
      </c>
      <c r="G25" s="3" t="inlineStr">
        <is>
          <t>car</t>
        </is>
      </c>
      <c r="H25" s="3" t="inlineStr">
        <is>
          <t>hero pink</t>
        </is>
      </c>
      <c r="I25" s="3" t="inlineStr">
        <is>
          <t>CJ Dropshipping (US warehouse filter)</t>
        </is>
      </c>
      <c r="J25" s="3" t="inlineStr">
        <is>
          <t>US (NJ or CA)</t>
        </is>
      </c>
      <c r="K25" s="3" t="inlineStr">
        <is>
          <t>Ships from our US warehouse in 4 to 9 business days</t>
        </is>
      </c>
      <c r="L25" s="3" t="inlineStr">
        <is>
          <t>Zendrop (Ships From: US filter)</t>
        </is>
      </c>
      <c r="M25" s="20">
        <f>Margins!H43</f>
        <v>30.99</v>
      </c>
      <c r="N25" s="21">
        <f>Margins!P43</f>
        <v>0.45214875766376245</v>
      </c>
      <c r="O25" s="21">
        <f>Margins!R43</f>
        <v>0.2908063891577928</v>
      </c>
      <c r="P25" s="3" t="inlineStr">
        <is>
          <t>TikTok Shop keyword page 'fluffy pink steering wheel cover': 57.0K total sold across verified shops, deal listing 6.6K sold; 'steering wheel cover pink' 58.0K total sold (seen in snippet, 27 Sep 2026) https://shop.tiktok.com/us/k/fluffy-pink-steering-wheel-cover; Amazon SEG Direct pink set 200+ bought in past month, category up to 400+; AliExpress items 1005005267863833 and 1005005295599878</t>
        </is>
      </c>
      <c r="Q25" s="3" t="inlineStr">
        <is>
          <t>The single most saved pink car item on the internet, and the photo takes itself from the driver's seat.</t>
        </is>
      </c>
      <c r="R25" s="3" t="inlineStr">
        <is>
          <t>estimate: cost = 40% of the US retail seen (Zendrop guide ratio $8 to $12 product on $25 retail); confirm on cjdropshipping.com</t>
        </is>
      </c>
    </row>
    <row r="26">
      <c r="A26" s="3" t="inlineStr">
        <is>
          <t>E09</t>
        </is>
      </c>
      <c r="B26" s="3" t="inlineStr">
        <is>
          <t>Pink leak-proof car trash can with lid</t>
        </is>
      </c>
      <c r="C26" s="3" t="inlineStr">
        <is>
          <t>Evergreen</t>
        </is>
      </c>
      <c r="D26" s="3" t="inlineStr">
        <is>
          <t>Evergreen</t>
        </is>
      </c>
      <c r="E26" s="3" t="inlineStr">
        <is>
          <t>pink-car-accessories-that-make-every-red-light-feel-like-a-photo-shoot</t>
        </is>
      </c>
      <c r="F26" s="3" t="inlineStr">
        <is>
          <t>Pink Car Accessories That Make Every Red Light Feel Like a Photo Shoot</t>
        </is>
      </c>
      <c r="G26" s="3" t="inlineStr">
        <is>
          <t>car</t>
        </is>
      </c>
      <c r="H26" s="3" t="inlineStr">
        <is>
          <t>supporting pink</t>
        </is>
      </c>
      <c r="I26" s="3" t="inlineStr">
        <is>
          <t>CJ Dropshipping (US warehouse filter)</t>
        </is>
      </c>
      <c r="J26" s="3" t="inlineStr">
        <is>
          <t>US (NJ or CA)</t>
        </is>
      </c>
      <c r="K26" s="3" t="inlineStr">
        <is>
          <t>Ships from our US warehouse in 4 to 9 business days</t>
        </is>
      </c>
      <c r="L26" s="3" t="inlineStr">
        <is>
          <t>Zendrop (Ships From: US filter)</t>
        </is>
      </c>
      <c r="M26" s="20">
        <f>Margins!H44</f>
        <v>30.99</v>
      </c>
      <c r="N26" s="21">
        <f>Margins!P44</f>
        <v>0.45214875766376245</v>
      </c>
      <c r="O26" s="21">
        <f>Margins!R44</f>
        <v>0.2908063891577928</v>
      </c>
      <c r="P26" s="3" t="inlineStr">
        <is>
          <t>Amazon EPAuto waterproof car trash can, pink, 200+ bought in past month (seen in snippet, 27 Sep 2026) https://www.amazon.com/EPAuto-Waterproof-Trash-Storage-Pockets/dp/B07WCQSW96; Vankor and HOTOR pink bins live; TikTok Shop 'pink car trash can' listings (no count)</t>
        </is>
      </c>
      <c r="Q26" s="3" t="inlineStr">
        <is>
          <t>The cupholder crime scene fix. Practical enough to justify the whole cart.</t>
        </is>
      </c>
      <c r="R26" s="3" t="inlineStr">
        <is>
          <t>estimate: cost = 40% of the US retail seen (Zendrop guide ratio $8 to $12 product on $25 retail); confirm on cjdropshipping.com</t>
        </is>
      </c>
    </row>
    <row r="27">
      <c r="A27" s="3" t="inlineStr">
        <is>
          <t>E10</t>
        </is>
      </c>
      <c r="B27" s="3" t="inlineStr">
        <is>
          <t>Bling rhinestone car cup coasters, pink, 2 pack</t>
        </is>
      </c>
      <c r="C27" s="3" t="inlineStr">
        <is>
          <t>Evergreen</t>
        </is>
      </c>
      <c r="D27" s="3" t="inlineStr">
        <is>
          <t>Evergreen</t>
        </is>
      </c>
      <c r="E27" s="3" t="inlineStr">
        <is>
          <t>pink-car-accessories-that-make-every-red-light-feel-like-a-photo-shoot</t>
        </is>
      </c>
      <c r="F27" s="3" t="inlineStr">
        <is>
          <t>Pink Car Accessories That Make Every Red Light Feel Like a Photo Shoot</t>
        </is>
      </c>
      <c r="G27" s="3" t="inlineStr">
        <is>
          <t>car</t>
        </is>
      </c>
      <c r="H27" s="3" t="inlineStr">
        <is>
          <t>supporting pink (crystal)</t>
        </is>
      </c>
      <c r="I27" s="3" t="inlineStr">
        <is>
          <t>CJ Dropshipping (US warehouse filter)</t>
        </is>
      </c>
      <c r="J27" s="3" t="inlineStr">
        <is>
          <t>US (NJ or CA)</t>
        </is>
      </c>
      <c r="K27" s="3" t="inlineStr">
        <is>
          <t>Ships from our US warehouse in 4 to 9 business days</t>
        </is>
      </c>
      <c r="L27" s="3" t="inlineStr">
        <is>
          <t>Zendrop (Ships From: US filter)</t>
        </is>
      </c>
      <c r="M27" s="20">
        <f>Margins!H45</f>
        <v>22.99</v>
      </c>
      <c r="N27" s="21">
        <f>Margins!P45</f>
        <v>0.4951757285776424</v>
      </c>
      <c r="O27" s="21">
        <f>Margins!R45</f>
        <v>0.27768986515876465</v>
      </c>
      <c r="P27" s="3" t="inlineStr">
        <is>
          <t>Amazon 'pink car cup coasters': listings show 50+ to 700+ bought in past month; WubbaLubba pink 2-pack B08P72CWJQ, 4-pack pink crystal B093WBKV7J (seen in snippet, 27 Sep 2026) https://www.amazon.com/car-coasters-pink/s?k=car+coasters+pink</t>
        </is>
      </c>
      <c r="Q27" s="3" t="inlineStr">
        <is>
          <t>The cheapest add-on in the look and the sparkle that shows up in the cupholder close-up.</t>
        </is>
      </c>
      <c r="R27" s="3" t="inlineStr">
        <is>
          <t>estimate: cost = 40% of the US retail seen (Zendrop guide ratio $8 to $12 product on $25 retail); confirm on cjdropshipping.com</t>
        </is>
      </c>
    </row>
    <row r="28">
      <c r="A28" s="3" t="inlineStr">
        <is>
          <t>E11</t>
        </is>
      </c>
      <c r="B28" s="3" t="inlineStr">
        <is>
          <t>Plush pink seat belt covers with bow, pair</t>
        </is>
      </c>
      <c r="C28" s="3" t="inlineStr">
        <is>
          <t>Evergreen</t>
        </is>
      </c>
      <c r="D28" s="3" t="inlineStr">
        <is>
          <t>Evergreen</t>
        </is>
      </c>
      <c r="E28" s="3" t="inlineStr">
        <is>
          <t>pink-car-accessories-that-make-every-red-light-feel-like-a-photo-shoot</t>
        </is>
      </c>
      <c r="F28" s="3" t="inlineStr">
        <is>
          <t>Pink Car Accessories That Make Every Red Light Feel Like a Photo Shoot</t>
        </is>
      </c>
      <c r="G28" s="3" t="inlineStr">
        <is>
          <t>car</t>
        </is>
      </c>
      <c r="H28" s="3" t="inlineStr">
        <is>
          <t>supporting pink</t>
        </is>
      </c>
      <c r="I28" s="3" t="inlineStr">
        <is>
          <t>CJ Dropshipping (US warehouse filter)</t>
        </is>
      </c>
      <c r="J28" s="3" t="inlineStr">
        <is>
          <t>US (NJ or CA)</t>
        </is>
      </c>
      <c r="K28" s="3" t="inlineStr">
        <is>
          <t>Ships from our US warehouse in 4 to 9 business days</t>
        </is>
      </c>
      <c r="L28" s="3" t="inlineStr">
        <is>
          <t>Zendrop (Ships From: US filter)</t>
        </is>
      </c>
      <c r="M28" s="20">
        <f>Margins!H46</f>
        <v>23.99</v>
      </c>
      <c r="N28" s="21">
        <f>Margins!P46</f>
        <v>0.46999124635264694</v>
      </c>
      <c r="O28" s="21">
        <f>Margins!R46</f>
        <v>0.26157107127969986</v>
      </c>
      <c r="P28" s="3" t="inlineStr">
        <is>
          <t>Amazon 'pink seat belt covers': products show 400+ bought in past month; Quintathletic bow set B0G2GQSX8Y 50+ (seen in snippet, 27 Sep 2026) https://www.amazon.com/pink-seat-belt-covers/s?k=pink+seat+belt+covers</t>
        </is>
      </c>
      <c r="Q28" s="3" t="inlineStr">
        <is>
          <t>Bows on the seat belt is the detail that makes a passenger say 'where did you get that'.</t>
        </is>
      </c>
      <c r="R28" s="3" t="inlineStr">
        <is>
          <t>estimate: cost = 40% of the US retail seen (Zendrop guide ratio $8 to $12 product on $25 retail); confirm on cjdropshipping.com</t>
        </is>
      </c>
    </row>
    <row r="29">
      <c r="A29" s="3" t="inlineStr">
        <is>
          <t>E12</t>
        </is>
      </c>
      <c r="B29" s="3" t="inlineStr">
        <is>
          <t>Pink magnetic suction car phone holder, no electronics</t>
        </is>
      </c>
      <c r="C29" s="3" t="inlineStr">
        <is>
          <t>Evergreen</t>
        </is>
      </c>
      <c r="D29" s="3" t="inlineStr">
        <is>
          <t>Evergreen</t>
        </is>
      </c>
      <c r="E29" s="3" t="inlineStr">
        <is>
          <t>pink-car-accessories-that-make-every-red-light-feel-like-a-photo-shoot</t>
        </is>
      </c>
      <c r="F29" s="3" t="inlineStr">
        <is>
          <t>Pink Car Accessories That Make Every Red Light Feel Like a Photo Shoot</t>
        </is>
      </c>
      <c r="G29" s="3" t="inlineStr">
        <is>
          <t>car</t>
        </is>
      </c>
      <c r="H29" s="3" t="inlineStr">
        <is>
          <t>neutral (black mount, pink accent)</t>
        </is>
      </c>
      <c r="I29" s="3" t="inlineStr">
        <is>
          <t>CJ Dropshipping (US warehouse filter)</t>
        </is>
      </c>
      <c r="J29" s="3" t="inlineStr">
        <is>
          <t>US (NJ or CA)</t>
        </is>
      </c>
      <c r="K29" s="3" t="inlineStr">
        <is>
          <t>Ships from our US warehouse in 4 to 9 business days</t>
        </is>
      </c>
      <c r="L29" s="3" t="inlineStr">
        <is>
          <t>Zendrop (Ships From: US filter)</t>
        </is>
      </c>
      <c r="M29" s="20">
        <f>Margins!H47</f>
        <v>25.99</v>
      </c>
      <c r="N29" s="21">
        <f>Margins!P47</f>
        <v>0.46391265871489024</v>
      </c>
      <c r="O29" s="21">
        <f>Margins!R47</f>
        <v>0.2715309734513273</v>
      </c>
      <c r="P29" s="3" t="inlineStr">
        <is>
          <t>TikTok Shop vacuum magnetic suction phone holder, pink option: 27 sold at $10.99 (seen in snippet, 27 Sep 2026) https://shop.tiktok.com/us/pdp/vacuum-magnetic-suction-phone-holder-upgraded-stability-dual-sided-magnetic-hands-free-convenience/1732202859492512145; Amazon 'pink car accessories set' 2K+ bought in past month (category)</t>
        </is>
      </c>
      <c r="Q29" s="3" t="inlineStr">
        <is>
          <t>Every pink car pin needs one practical object so it does not read as a toy. This is it.</t>
        </is>
      </c>
      <c r="R29" s="3" t="inlineStr">
        <is>
          <t>estimate: cost = 40% of the US retail seen (Zendrop guide ratio $8 to $12 product on $25 retail); confirm on cjdropshipping.com</t>
        </is>
      </c>
    </row>
    <row r="30">
      <c r="A30" s="3" t="inlineStr">
        <is>
          <t>E13</t>
        </is>
      </c>
      <c r="B30" s="3" t="inlineStr">
        <is>
          <t>Pink large-capacity travel vanity bag</t>
        </is>
      </c>
      <c r="C30" s="3" t="inlineStr">
        <is>
          <t>Evergreen</t>
        </is>
      </c>
      <c r="D30" s="3" t="inlineStr">
        <is>
          <t>Evergreen</t>
        </is>
      </c>
      <c r="E30" s="3" t="inlineStr">
        <is>
          <t>the-pink-vanity-organisation-list</t>
        </is>
      </c>
      <c r="F30" s="3" t="inlineStr">
        <is>
          <t>The Pink Vanity Organisation List</t>
        </is>
      </c>
      <c r="G30" s="3" t="inlineStr">
        <is>
          <t>beauty</t>
        </is>
      </c>
      <c r="H30" s="3" t="inlineStr">
        <is>
          <t>hero pink</t>
        </is>
      </c>
      <c r="I30" s="3" t="inlineStr">
        <is>
          <t>CJ Dropshipping (US warehouse filter)</t>
        </is>
      </c>
      <c r="J30" s="3" t="inlineStr">
        <is>
          <t>US (NJ or CA)</t>
        </is>
      </c>
      <c r="K30" s="3" t="inlineStr">
        <is>
          <t>Ships from our US warehouse in 4 to 9 business days</t>
        </is>
      </c>
      <c r="L30" s="3" t="inlineStr">
        <is>
          <t>Zendrop (Ships From: US filter)</t>
        </is>
      </c>
      <c r="M30" s="20">
        <f>Margins!H48</f>
        <v>35.99</v>
      </c>
      <c r="N30" s="21">
        <f>Margins!P48</f>
        <v>0.4575462628507919</v>
      </c>
      <c r="O30" s="21">
        <f>Margins!R48</f>
        <v>0.3186187829952765</v>
      </c>
      <c r="P30" s="3" t="inlineStr">
        <is>
          <t>Google Trends: 'vanity bag' about 206K searches a month, +66% YoY (quoted by CJ Dropshipping blog; not seen on trends.google.com directly) https://cjdropshipping.com/blogs/selling-strategies/google-trends-products; TikTok Shop 'pink makeup case' 51 sold at $13.80; CJ Dropshipping listing found with 'Double layer pink' colour https://cjdropshipping.com/product/travel-cosmetic-bag-large-capacity-multifunction-travel-cosmetic-bag-women-toiletries-organizer-female-storage-make-up-case-tool-p-1546430072087916544.html</t>
        </is>
      </c>
      <c r="Q30" s="3" t="inlineStr">
        <is>
          <t>The open-flat vanity bag is the 'what's in my travel bag' pin, and the search volume behind it is the biggest Google number in the bank.</t>
        </is>
      </c>
      <c r="R30" s="3" t="inlineStr">
        <is>
          <t>listing found via search; price not visible in snippet, cost is an estimate; confirm on cjdropshipping.com</t>
        </is>
      </c>
    </row>
    <row r="31">
      <c r="A31" s="3" t="inlineStr">
        <is>
          <t>E14</t>
        </is>
      </c>
      <c r="B31" s="3" t="inlineStr">
        <is>
          <t>Pink glitter makeup brush holder cup</t>
        </is>
      </c>
      <c r="C31" s="3" t="inlineStr">
        <is>
          <t>Evergreen</t>
        </is>
      </c>
      <c r="D31" s="3" t="inlineStr">
        <is>
          <t>Evergreen</t>
        </is>
      </c>
      <c r="E31" s="3" t="inlineStr">
        <is>
          <t>the-pink-vanity-organisation-list</t>
        </is>
      </c>
      <c r="F31" s="3" t="inlineStr">
        <is>
          <t>The Pink Vanity Organisation List</t>
        </is>
      </c>
      <c r="G31" s="3" t="inlineStr">
        <is>
          <t>beauty</t>
        </is>
      </c>
      <c r="H31" s="3" t="inlineStr">
        <is>
          <t>supporting pink</t>
        </is>
      </c>
      <c r="I31" s="3" t="inlineStr">
        <is>
          <t>CJ Dropshipping (US warehouse filter)</t>
        </is>
      </c>
      <c r="J31" s="3" t="inlineStr">
        <is>
          <t>US (NJ or CA)</t>
        </is>
      </c>
      <c r="K31" s="3" t="inlineStr">
        <is>
          <t>Ships from our US warehouse in 4 to 9 business days</t>
        </is>
      </c>
      <c r="L31" s="3" t="inlineStr">
        <is>
          <t>Zendrop (Ships From: US filter)</t>
        </is>
      </c>
      <c r="M31" s="20">
        <f>Margins!H49</f>
        <v>26.99</v>
      </c>
      <c r="N31" s="21">
        <f>Margins!P49</f>
        <v>0.46121118932938115</v>
      </c>
      <c r="O31" s="21">
        <f>Margins!R49</f>
        <v>0.27595739162652827</v>
      </c>
      <c r="P31" s="3" t="inlineStr">
        <is>
          <t>TikTok Shop keyword page 'glitter makeup holder': 1.3K sold at $12.30 (seen in snippet, 27 Sep 2026) https://shop.tiktok.com/us/k/glitter-makeup-holder; AliExpress pearl acrylic brush holder $11.50 (item 32954351202, seen)</t>
        </is>
      </c>
      <c r="Q31" s="3" t="inlineStr">
        <is>
          <t>The detail shot in every vanity tour. Glitter in a cup, brushes in the glitter, done.</t>
        </is>
      </c>
      <c r="R31" s="3" t="inlineStr">
        <is>
          <t>estimate: cost = 40% of the US retail seen (Zendrop guide ratio $8 to $12 product on $25 retail); confirm on cjdropshipping.com</t>
        </is>
      </c>
    </row>
    <row r="32">
      <c r="A32" s="3" t="inlineStr">
        <is>
          <t>E15</t>
        </is>
      </c>
      <c r="B32" s="3" t="inlineStr">
        <is>
          <t>Clear acrylic 2-tier perfume and vanity tray</t>
        </is>
      </c>
      <c r="C32" s="3" t="inlineStr">
        <is>
          <t>Evergreen</t>
        </is>
      </c>
      <c r="D32" s="3" t="inlineStr">
        <is>
          <t>Evergreen</t>
        </is>
      </c>
      <c r="E32" s="3" t="inlineStr">
        <is>
          <t>the-pink-vanity-organisation-list</t>
        </is>
      </c>
      <c r="F32" s="3" t="inlineStr">
        <is>
          <t>The Pink Vanity Organisation List</t>
        </is>
      </c>
      <c r="G32" s="3" t="inlineStr">
        <is>
          <t>beauty</t>
        </is>
      </c>
      <c r="H32" s="3" t="inlineStr">
        <is>
          <t>neutral (clear acrylic)</t>
        </is>
      </c>
      <c r="I32" s="3" t="inlineStr">
        <is>
          <t>CJ Dropshipping (US warehouse filter)</t>
        </is>
      </c>
      <c r="J32" s="3" t="inlineStr">
        <is>
          <t>US (NJ or CA)</t>
        </is>
      </c>
      <c r="K32" s="3" t="inlineStr">
        <is>
          <t>Ships from our US warehouse in 4 to 9 business days</t>
        </is>
      </c>
      <c r="L32" s="3" t="inlineStr">
        <is>
          <t>Zendrop (Ships From: US filter)</t>
        </is>
      </c>
      <c r="M32" s="20">
        <f>Margins!H50</f>
        <v>33.99</v>
      </c>
      <c r="N32" s="21">
        <f>Margins!P50</f>
        <v>0.461461900558988</v>
      </c>
      <c r="O32" s="21">
        <f>Margins!R50</f>
        <v>0.3143598117093263</v>
      </c>
      <c r="P32" s="3" t="inlineStr">
        <is>
          <t>TikTok Shop keyword page 'perfume vanity tray organizer': cards with 25, 29, 55 and 1.5K sold; NiHome 2-tier acrylic stand 173 sold (seen in snippet, 27 Sep 2026) https://shop.tiktok.com/us/k/perfume-vanity-tray-organizer</t>
        </is>
      </c>
      <c r="Q32" s="3" t="inlineStr">
        <is>
          <t>The perfume-tray shot is the most saved vanity format on Pinterest, and clear acrylic is the neutral that lets the pink bottles do the talking.</t>
        </is>
      </c>
      <c r="R32" s="3" t="inlineStr">
        <is>
          <t>estimate: cost = 40% of the US retail seen (Zendrop guide ratio $8 to $12 product on $25 retail); confirm on cjdropshipping.com</t>
        </is>
      </c>
    </row>
    <row r="33">
      <c r="A33" s="3" t="inlineStr">
        <is>
          <t>E16</t>
        </is>
      </c>
      <c r="B33" s="3" t="inlineStr">
        <is>
          <t>Hot pink multi-compartment desk and vanity organiser</t>
        </is>
      </c>
      <c r="C33" s="3" t="inlineStr">
        <is>
          <t>Evergreen</t>
        </is>
      </c>
      <c r="D33" s="3" t="inlineStr">
        <is>
          <t>Evergreen</t>
        </is>
      </c>
      <c r="E33" s="3" t="inlineStr">
        <is>
          <t>the-pink-vanity-organisation-list</t>
        </is>
      </c>
      <c r="F33" s="3" t="inlineStr">
        <is>
          <t>The Pink Vanity Organisation List</t>
        </is>
      </c>
      <c r="G33" s="3" t="inlineStr">
        <is>
          <t>beauty</t>
        </is>
      </c>
      <c r="H33" s="3" t="inlineStr">
        <is>
          <t>hero pink</t>
        </is>
      </c>
      <c r="I33" s="3" t="inlineStr">
        <is>
          <t>CJ Dropshipping (US warehouse filter)</t>
        </is>
      </c>
      <c r="J33" s="3" t="inlineStr">
        <is>
          <t>US (NJ or CA)</t>
        </is>
      </c>
      <c r="K33" s="3" t="inlineStr">
        <is>
          <t>Ships from our US warehouse in 4 to 9 business days</t>
        </is>
      </c>
      <c r="L33" s="3" t="inlineStr">
        <is>
          <t>Zendrop (Ships From: US filter)</t>
        </is>
      </c>
      <c r="M33" s="20">
        <f>Margins!H51</f>
        <v>27.99</v>
      </c>
      <c r="N33" s="21">
        <f>Margins!P51</f>
        <v>0.4622754555198284</v>
      </c>
      <c r="O33" s="21">
        <f>Margins!R51</f>
        <v>0.2836402286530903</v>
      </c>
      <c r="P33" s="3" t="inlineStr">
        <is>
          <t>TikTok Shop keyword page 'hot pink desk organizer ideas': 7.7K sold at $10.99 (seen in snippet, 27 Sep 2026) https://shop.tiktok.com/us/k/hot-pink-desk-organizer-ideas</t>
        </is>
      </c>
      <c r="Q33" s="3" t="inlineStr">
        <is>
          <t>One organiser that works on a desk or a dresser gets saved to two boards, and 7.7K sold says the colour is not too much.</t>
        </is>
      </c>
      <c r="R33" s="3" t="inlineStr">
        <is>
          <t>estimate: cost = 40% of the US retail seen (Zendrop guide ratio $8 to $12 product on $25 retail); confirm on cjdropshipping.com</t>
        </is>
      </c>
    </row>
    <row r="34">
      <c r="A34" s="3" t="inlineStr">
        <is>
          <t>E17</t>
        </is>
      </c>
      <c r="B34" s="3" t="inlineStr">
        <is>
          <t>Pink bow spa headband and wristband set</t>
        </is>
      </c>
      <c r="C34" s="3" t="inlineStr">
        <is>
          <t>Evergreen</t>
        </is>
      </c>
      <c r="D34" s="3" t="inlineStr">
        <is>
          <t>Evergreen</t>
        </is>
      </c>
      <c r="E34" s="3" t="inlineStr">
        <is>
          <t>the-pink-vanity-organisation-list</t>
        </is>
      </c>
      <c r="F34" s="3" t="inlineStr">
        <is>
          <t>The Pink Vanity Organisation List</t>
        </is>
      </c>
      <c r="G34" s="3" t="inlineStr">
        <is>
          <t>beauty</t>
        </is>
      </c>
      <c r="H34" s="3" t="inlineStr">
        <is>
          <t>supporting pink</t>
        </is>
      </c>
      <c r="I34" s="3" t="inlineStr">
        <is>
          <t>CJ Dropshipping (US warehouse filter)</t>
        </is>
      </c>
      <c r="J34" s="3" t="inlineStr">
        <is>
          <t>US (NJ or CA)</t>
        </is>
      </c>
      <c r="K34" s="3" t="inlineStr">
        <is>
          <t>Ships from our US warehouse in 4 to 9 business days</t>
        </is>
      </c>
      <c r="L34" s="3" t="inlineStr">
        <is>
          <t>Zendrop (Ships From: US filter)</t>
        </is>
      </c>
      <c r="M34" s="20">
        <f>Margins!H52</f>
        <v>20.99</v>
      </c>
      <c r="N34" s="21">
        <f>Margins!P52</f>
        <v>0.5051019533111005</v>
      </c>
      <c r="O34" s="21">
        <f>Margins!R52</f>
        <v>0.2668932825154835</v>
      </c>
      <c r="P34" s="3" t="inlineStr">
        <is>
          <t>TikTok Shop keyword page 'spa headband and wristband': 13.7K sold at $2.11 (seen in snippet, 27 Sep 2026) https://shop.tiktok.com/us/k/spa-headband-and-wristband</t>
        </is>
      </c>
      <c r="Q34" s="3" t="inlineStr">
        <is>
          <t>The first thing on screen in every get-ready video, and the bow makes it a pin on its own.</t>
        </is>
      </c>
      <c r="R34" s="3" t="inlineStr">
        <is>
          <t>estimate: cost = 40% of the US retail seen (Zendrop guide ratio $8 to $12 product on $25 retail); confirm on cjdropshipping.com</t>
        </is>
      </c>
    </row>
    <row r="35">
      <c r="A35" s="3" t="inlineStr">
        <is>
          <t>E18</t>
        </is>
      </c>
      <c r="B35" s="3" t="inlineStr">
        <is>
          <t>Covered acrylic makeup organiser with pink lid</t>
        </is>
      </c>
      <c r="C35" s="3" t="inlineStr">
        <is>
          <t>Evergreen</t>
        </is>
      </c>
      <c r="D35" s="3" t="inlineStr">
        <is>
          <t>Evergreen</t>
        </is>
      </c>
      <c r="E35" s="3" t="inlineStr">
        <is>
          <t>the-pink-vanity-organisation-list</t>
        </is>
      </c>
      <c r="F35" s="3" t="inlineStr">
        <is>
          <t>The Pink Vanity Organisation List</t>
        </is>
      </c>
      <c r="G35" s="3" t="inlineStr">
        <is>
          <t>beauty</t>
        </is>
      </c>
      <c r="H35" s="3" t="inlineStr">
        <is>
          <t>supporting pink (clear with pink lid)</t>
        </is>
      </c>
      <c r="I35" s="3" t="inlineStr">
        <is>
          <t>CJ Dropshipping (US warehouse filter)</t>
        </is>
      </c>
      <c r="J35" s="3" t="inlineStr">
        <is>
          <t>US (NJ or CA)</t>
        </is>
      </c>
      <c r="K35" s="3" t="inlineStr">
        <is>
          <t>Ships from our US warehouse in 4 to 9 business days</t>
        </is>
      </c>
      <c r="L35" s="3" t="inlineStr">
        <is>
          <t>Zendrop (Ships From: US filter)</t>
        </is>
      </c>
      <c r="M35" s="20">
        <f>Margins!H53</f>
        <v>41.99</v>
      </c>
      <c r="N35" s="21">
        <f>Margins!P53</f>
        <v>0.45637270778756844</v>
      </c>
      <c r="O35" s="21">
        <f>Margins!R53</f>
        <v>0.33729673731840915</v>
      </c>
      <c r="P35" s="3" t="inlineStr">
        <is>
          <t>TikTok Shop keyword page 'covered makeup organizer': 45 sold at $13.98 (seen in snippet, 27 Sep 2026) https://shop.tiktok.com/us/k/covered-makeup-organizer; Amazon Best Sellers Cosmetic Display Cases page exists (ranks not visible)</t>
        </is>
      </c>
      <c r="Q35" s="3" t="inlineStr">
        <is>
          <t>The base layer of the vanity pin: everything else in the look sits on or in it.</t>
        </is>
      </c>
      <c r="R35" s="3" t="inlineStr">
        <is>
          <t>estimate: cost = 40% of the US retail seen (Zendrop guide ratio $8 to $12 product on $25 retail); confirm on cjdropshipping.com</t>
        </is>
      </c>
    </row>
    <row r="36">
      <c r="A36" s="3" t="inlineStr">
        <is>
          <t>E19</t>
        </is>
      </c>
      <c r="B36" s="3" t="inlineStr">
        <is>
          <t>Puffy pink slippers</t>
        </is>
      </c>
      <c r="C36" s="3" t="inlineStr">
        <is>
          <t>Evergreen</t>
        </is>
      </c>
      <c r="D36" s="3" t="inlineStr">
        <is>
          <t>Evergreen</t>
        </is>
      </c>
      <c r="E36" s="3" t="inlineStr">
        <is>
          <t>pink-self-care-sunday-the-night-routine</t>
        </is>
      </c>
      <c r="F36" s="3" t="inlineStr">
        <is>
          <t>Pink Self-Care Sunday: The Night Routine</t>
        </is>
      </c>
      <c r="G36" s="3" t="inlineStr">
        <is>
          <t>beauty</t>
        </is>
      </c>
      <c r="H36" s="3" t="inlineStr">
        <is>
          <t>hero pink</t>
        </is>
      </c>
      <c r="I36" s="3" t="inlineStr">
        <is>
          <t>CJ Dropshipping (US warehouse filter)</t>
        </is>
      </c>
      <c r="J36" s="3" t="inlineStr">
        <is>
          <t>US (NJ or CA)</t>
        </is>
      </c>
      <c r="K36" s="3" t="inlineStr">
        <is>
          <t>Ships from our US warehouse in 4 to 9 business days</t>
        </is>
      </c>
      <c r="L36" s="3" t="inlineStr">
        <is>
          <t>Zendrop (Ships From: US filter)</t>
        </is>
      </c>
      <c r="M36" s="20">
        <f>Margins!H54</f>
        <v>33.99</v>
      </c>
      <c r="N36" s="21">
        <f>Margins!P54</f>
        <v>0.461461900558988</v>
      </c>
      <c r="O36" s="21">
        <f>Margins!R54</f>
        <v>0.3143598117093263</v>
      </c>
      <c r="P36" s="3" t="inlineStr">
        <is>
          <t>TikTok Shop keyword page 'puffy slides': 5.7K sold at $17.28; 'puffy slippers' 3.6K sold at $30.98 (seen in snippet, 27 Sep 2026) https://shop.tiktok.com/us/k/puffy-slides</t>
        </is>
      </c>
      <c r="Q36" s="3" t="inlineStr">
        <is>
          <t>Pillow-puffy pink slides are the shoe in every pink apartment flat lay. Sized S/M/L only, so returns stay low.</t>
        </is>
      </c>
      <c r="R36" s="3" t="inlineStr">
        <is>
          <t>estimate: cost = 40% of the US retail seen (Zendrop guide ratio $8 to $12 product on $25 retail); confirm on cjdropshipping.com</t>
        </is>
      </c>
    </row>
    <row r="37">
      <c r="A37" s="3" t="inlineStr">
        <is>
          <t>E20</t>
        </is>
      </c>
      <c r="B37" s="3" t="inlineStr">
        <is>
          <t>Pink satin sleep mask with bow</t>
        </is>
      </c>
      <c r="C37" s="3" t="inlineStr">
        <is>
          <t>Evergreen</t>
        </is>
      </c>
      <c r="D37" s="3" t="inlineStr">
        <is>
          <t>Evergreen</t>
        </is>
      </c>
      <c r="E37" s="3" t="inlineStr">
        <is>
          <t>pink-self-care-sunday-the-night-routine</t>
        </is>
      </c>
      <c r="F37" s="3" t="inlineStr">
        <is>
          <t>Pink Self-Care Sunday: The Night Routine</t>
        </is>
      </c>
      <c r="G37" s="3" t="inlineStr">
        <is>
          <t>beauty</t>
        </is>
      </c>
      <c r="H37" s="3" t="inlineStr">
        <is>
          <t>supporting pink</t>
        </is>
      </c>
      <c r="I37" s="3" t="inlineStr">
        <is>
          <t>CJ Dropshipping (US warehouse filter)</t>
        </is>
      </c>
      <c r="J37" s="3" t="inlineStr">
        <is>
          <t>US (NJ or CA)</t>
        </is>
      </c>
      <c r="K37" s="3" t="inlineStr">
        <is>
          <t>Ships from our US warehouse in 4 to 9 business days</t>
        </is>
      </c>
      <c r="L37" s="3" t="inlineStr">
        <is>
          <t>Zendrop (Ships From: US filter)</t>
        </is>
      </c>
      <c r="M37" s="20">
        <f>Margins!H55</f>
        <v>24.99</v>
      </c>
      <c r="N37" s="21">
        <f>Margins!P55</f>
        <v>0.4668303321328531</v>
      </c>
      <c r="O37" s="21">
        <f>Margins!R55</f>
        <v>0.2667503001200479</v>
      </c>
      <c r="P37" s="3" t="inlineStr">
        <is>
          <t>TikTok Shop keyword page 'silk blindfold': 4.2K sold at $39.00 (seen in snippet, 27 Sep 2026) https://shop.tiktok.com/us/k/silk-blindfold</t>
        </is>
      </c>
      <c r="Q37" s="3" t="inlineStr">
        <is>
          <t>The cheapest 'luxury' object in the bedtime pin, and it never needs a size.</t>
        </is>
      </c>
      <c r="R37" s="3" t="inlineStr">
        <is>
          <t>estimate: cost = 40% of the US retail seen (Zendrop guide ratio $8 to $12 product on $25 retail); confirm on cjdropshipping.com</t>
        </is>
      </c>
    </row>
    <row r="38">
      <c r="A38" s="3" t="inlineStr">
        <is>
          <t>E21</t>
        </is>
      </c>
      <c r="B38" s="3" t="inlineStr">
        <is>
          <t>Pink feather-trim pajama set</t>
        </is>
      </c>
      <c r="C38" s="3" t="inlineStr">
        <is>
          <t>Evergreen</t>
        </is>
      </c>
      <c r="D38" s="3" t="inlineStr">
        <is>
          <t>Evergreen</t>
        </is>
      </c>
      <c r="E38" s="3" t="inlineStr">
        <is>
          <t>pink-self-care-sunday-the-night-routine</t>
        </is>
      </c>
      <c r="F38" s="3" t="inlineStr">
        <is>
          <t>Pink Self-Care Sunday: The Night Routine</t>
        </is>
      </c>
      <c r="G38" s="3" t="inlineStr">
        <is>
          <t>clothing</t>
        </is>
      </c>
      <c r="H38" s="3" t="inlineStr">
        <is>
          <t>hero pink</t>
        </is>
      </c>
      <c r="I38" s="3" t="inlineStr">
        <is>
          <t>CJ Dropshipping (US warehouse filter)</t>
        </is>
      </c>
      <c r="J38" s="3" t="inlineStr">
        <is>
          <t>US (NJ or CA)</t>
        </is>
      </c>
      <c r="K38" s="3" t="inlineStr">
        <is>
          <t>Ships from our US warehouse in 4 to 9 business days</t>
        </is>
      </c>
      <c r="L38" s="3" t="inlineStr">
        <is>
          <t>Zendrop (Ships From: US filter)</t>
        </is>
      </c>
      <c r="M38" s="20">
        <f>Margins!H56</f>
        <v>37.99</v>
      </c>
      <c r="N38" s="21">
        <f>Margins!P56</f>
        <v>0.45404290602790204</v>
      </c>
      <c r="O38" s="21">
        <f>Margins!R56</f>
        <v>0.3224293235061858</v>
      </c>
      <c r="P38" s="3" t="inlineStr">
        <is>
          <t>TikTok Shop keyword page 'pink feather pajamas': 3.4K sold at $15.40 (seen in snippet, 27 Sep 2026) https://shop.tiktok.com/us/k/pink-feather-pajamas</t>
        </is>
      </c>
      <c r="Q38" s="3" t="inlineStr">
        <is>
          <t>Feather cuffs in baby pink is the 'Legally Blonde at home' look and the only clothing piece the bank keeps, because pajamas forgive fit.</t>
        </is>
      </c>
      <c r="R38" s="3" t="inlineStr">
        <is>
          <t>estimate: cost = 40% of the US retail seen (Zendrop guide ratio $8 to $12 product on $25 retail); confirm on cjdropshipping.com</t>
        </is>
      </c>
    </row>
    <row r="39">
      <c r="A39" s="3" t="inlineStr">
        <is>
          <t>E22</t>
        </is>
      </c>
      <c r="B39" s="3" t="inlineStr">
        <is>
          <t>Pink satin heatless curling rod set</t>
        </is>
      </c>
      <c r="C39" s="3" t="inlineStr">
        <is>
          <t>Evergreen</t>
        </is>
      </c>
      <c r="D39" s="3" t="inlineStr">
        <is>
          <t>Evergreen</t>
        </is>
      </c>
      <c r="E39" s="3" t="inlineStr">
        <is>
          <t>pink-self-care-sunday-the-night-routine</t>
        </is>
      </c>
      <c r="F39" s="3" t="inlineStr">
        <is>
          <t>Pink Self-Care Sunday: The Night Routine</t>
        </is>
      </c>
      <c r="G39" s="3" t="inlineStr">
        <is>
          <t>beauty</t>
        </is>
      </c>
      <c r="H39" s="3" t="inlineStr">
        <is>
          <t>supporting pink</t>
        </is>
      </c>
      <c r="I39" s="3" t="inlineStr">
        <is>
          <t>CJ Dropshipping (US warehouse filter)</t>
        </is>
      </c>
      <c r="J39" s="3" t="inlineStr">
        <is>
          <t>US (NJ or CA)</t>
        </is>
      </c>
      <c r="K39" s="3" t="inlineStr">
        <is>
          <t>Ships from our US warehouse in 4 to 9 business days</t>
        </is>
      </c>
      <c r="L39" s="3" t="inlineStr">
        <is>
          <t>Zendrop (Ships From: US filter)</t>
        </is>
      </c>
      <c r="M39" s="20">
        <f>Margins!H57</f>
        <v>24.99</v>
      </c>
      <c r="N39" s="21">
        <f>Margins!P57</f>
        <v>0.4668303321328531</v>
      </c>
      <c r="O39" s="21">
        <f>Margins!R57</f>
        <v>0.2667503001200479</v>
      </c>
      <c r="P39" s="3" t="inlineStr">
        <is>
          <t>TikTok Shop keyword pages: 64 sold at $3.67, 39 sold at $22.98, 23 sold at $6.12 (seen in snippet, 27 Sep 2026) https://shop.tiktok.com/us/k/best-heatless-curle; AliExpress pink 9-pc set item 1005010692448858 (price not visible); Amazon '2026 New Upgraded' satin rod B0D4LWJT8P live</t>
        </is>
      </c>
      <c r="Q39" s="3" t="inlineStr">
        <is>
          <t>Per-SKU counts are modest, but the 9-piece pink set (rod, bonnet, scrunchies, mask) is a ready-made 'heatless night routine' pin.</t>
        </is>
      </c>
      <c r="R39" s="3" t="inlineStr">
        <is>
          <t>estimate: cost = 40% of the US retail seen (Zendrop guide ratio $8 to $12 product on $25 retail); confirm on cjdropshipping.com</t>
        </is>
      </c>
    </row>
    <row r="40">
      <c r="A40" s="3" t="inlineStr">
        <is>
          <t>E23</t>
        </is>
      </c>
      <c r="B40" s="3" t="inlineStr">
        <is>
          <t>Pink robe with feather trim, one size</t>
        </is>
      </c>
      <c r="C40" s="3" t="inlineStr">
        <is>
          <t>Evergreen</t>
        </is>
      </c>
      <c r="D40" s="3" t="inlineStr">
        <is>
          <t>Evergreen</t>
        </is>
      </c>
      <c r="E40" s="3" t="inlineStr">
        <is>
          <t>pink-self-care-sunday-the-night-routine</t>
        </is>
      </c>
      <c r="F40" s="3" t="inlineStr">
        <is>
          <t>Pink Self-Care Sunday: The Night Routine</t>
        </is>
      </c>
      <c r="G40" s="3" t="inlineStr">
        <is>
          <t>clothing</t>
        </is>
      </c>
      <c r="H40" s="3" t="inlineStr">
        <is>
          <t>hero pink</t>
        </is>
      </c>
      <c r="I40" s="3" t="inlineStr">
        <is>
          <t>CJ Dropshipping (US warehouse filter)</t>
        </is>
      </c>
      <c r="J40" s="3" t="inlineStr">
        <is>
          <t>US (NJ or CA)</t>
        </is>
      </c>
      <c r="K40" s="3" t="inlineStr">
        <is>
          <t>Ships from our US warehouse in 4 to 9 business days</t>
        </is>
      </c>
      <c r="L40" s="3" t="inlineStr">
        <is>
          <t>Zendrop (Ships From: US filter)</t>
        </is>
      </c>
      <c r="M40" s="20">
        <f>Margins!H58</f>
        <v>59.99</v>
      </c>
      <c r="N40" s="21">
        <f>Margins!P58</f>
        <v>0.45342707117852976</v>
      </c>
      <c r="O40" s="21">
        <f>Margins!R58</f>
        <v>0.3700798466411068</v>
      </c>
      <c r="P40" s="3" t="inlineStr">
        <is>
          <t>TikTok Shop keyword page 'pink robe with fur trim': 592 sold at $41.36 (seen in snippet, 27 Sep 2026) https://shop.tiktok.com/us/k/pink-robe-with-fur-trim</t>
        </is>
      </c>
      <c r="Q40" s="3" t="inlineStr">
        <is>
          <t>The getting-ready robe is the bridal, birthday and Sunday-reset pin in one, and one-size keeps returns down.</t>
        </is>
      </c>
      <c r="R40" s="3" t="inlineStr">
        <is>
          <t>estimate: cost = 40% of the US retail seen (Zendrop guide ratio $8 to $12 product on $25 retail); confirm on cjdropshipping.com</t>
        </is>
      </c>
    </row>
    <row r="41">
      <c r="A41" s="3" t="inlineStr">
        <is>
          <t>E24</t>
        </is>
      </c>
      <c r="B41" s="3" t="inlineStr">
        <is>
          <t>Cream hooded wearable blanket</t>
        </is>
      </c>
      <c r="C41" s="3" t="inlineStr">
        <is>
          <t>Evergreen</t>
        </is>
      </c>
      <c r="D41" s="3" t="inlineStr">
        <is>
          <t>Evergreen</t>
        </is>
      </c>
      <c r="E41" s="3" t="inlineStr">
        <is>
          <t>pink-self-care-sunday-the-night-routine</t>
        </is>
      </c>
      <c r="F41" s="3" t="inlineStr">
        <is>
          <t>Pink Self-Care Sunday: The Night Routine</t>
        </is>
      </c>
      <c r="G41" s="3" t="inlineStr">
        <is>
          <t>home-decor</t>
        </is>
      </c>
      <c r="H41" s="3" t="inlineStr">
        <is>
          <t>neutral (cream)</t>
        </is>
      </c>
      <c r="I41" s="3" t="inlineStr">
        <is>
          <t>CJ Dropshipping (US warehouse filter)</t>
        </is>
      </c>
      <c r="J41" s="3" t="inlineStr">
        <is>
          <t>US (NJ or CA)</t>
        </is>
      </c>
      <c r="K41" s="3" t="inlineStr">
        <is>
          <t>Ships from our US warehouse in 4 to 9 business days</t>
        </is>
      </c>
      <c r="L41" s="3" t="inlineStr">
        <is>
          <t>Zendrop (Ships From: US filter)</t>
        </is>
      </c>
      <c r="M41" s="20">
        <f>Margins!H59</f>
        <v>43.99</v>
      </c>
      <c r="N41" s="21">
        <f>Margins!P59</f>
        <v>0.4534005455785406</v>
      </c>
      <c r="O41" s="21">
        <f>Margins!R59</f>
        <v>0.3397383496249147</v>
      </c>
      <c r="P41" s="3" t="inlineStr">
        <is>
          <t>TikTok Shop keyword page 'pink snuggie blanket': 167 sold at $4.65 deal (seen in snippet, 27 Sep 2026) https://shop.tiktok.com/us/k/pink-snuggie-blanket; Amazon pink faux fur throws 100+ bought in past month (category)</t>
        </is>
      </c>
      <c r="Q41" s="3" t="inlineStr">
        <is>
          <t>The cream neutral in a very pink look, and the thing she is actually wearing in the lifestyle photo.</t>
        </is>
      </c>
      <c r="R41" s="3" t="inlineStr">
        <is>
          <t>estimate: cost = 40% of the US retail seen (Zendrop guide ratio $8 to $12 product on $25 retail); confirm on cjdropshipping.com</t>
        </is>
      </c>
    </row>
  </sheetData>
  <autoFilter ref="A1:R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0" customWidth="1" min="3" max="3"/>
    <col width="18" customWidth="1" min="4" max="4"/>
    <col width="12" customWidth="1" min="5" max="5"/>
    <col width="10" customWidth="1" min="6" max="6"/>
    <col width="10" customWidth="1" min="7" max="7"/>
    <col width="18" customWidth="1" min="8" max="8"/>
    <col width="18" customWidth="1" min="9" max="9"/>
    <col width="18" customWidth="1" min="10" max="10"/>
    <col width="22" customWidth="1" min="11" max="11"/>
    <col width="26" customWidth="1" min="12" max="12"/>
  </cols>
  <sheetData>
    <row r="1">
      <c r="A1" s="10" t="inlineStr">
        <is>
          <t>Order-by date = holiday date minus (supplier max quoted days + handling days + buffer days), counted in calendar days, then moved back to the previous business day if it lands on a weekend. Carrier cutoffs from search results are listed below the table; the earlier of the two dates wins.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>
      <c r="A2" s="7" t="inlineStr">
        <is>
          <t>Handling days</t>
        </is>
      </c>
      <c r="B2" s="9" t="n">
        <v>2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>
      <c r="A3" s="7" t="inlineStr">
        <is>
          <t>Buffer days</t>
        </is>
      </c>
      <c r="B3" s="9" t="n">
        <v>3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inlineStr">
        <is>
          <t>Halloween 2026</t>
        </is>
      </c>
      <c r="B4" s="22" t="n">
        <v>46326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inlineStr">
        <is>
          <t>Christmas 2026</t>
        </is>
      </c>
      <c r="B5" s="22" t="n">
        <v>46381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inlineStr">
        <is>
          <t>New Year's Eve 2026</t>
        </is>
      </c>
      <c r="B6" s="22" t="n">
        <v>46387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inlineStr">
        <is>
          <t>Carrier last-ship dates for 25 Dec (from search results; confirm on usps.com, ups.com, fedex.com)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inlineStr">
        <is>
          <t>USPS Ground Advantage (contiguous US)</t>
        </is>
      </c>
      <c r="B8" s="7" t="inlineStr">
        <is>
          <t>Thu 17 Dec 2026</t>
        </is>
      </c>
      <c r="C8" s="7" t="inlineStr">
        <is>
          <t>https://about.usps.com/newsroom/national-releases/2026/0922-usps-recommends-2026-holiday-mailing-shipping-dates.htm (22 Sep 2026)</t>
        </is>
      </c>
      <c r="D8" s="7" t="inlineStr">
        <is>
          <t>seen in snippet</t>
        </is>
      </c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inlineStr">
        <is>
          <t>USPS Priority Mail</t>
        </is>
      </c>
      <c r="B9" s="7" t="inlineStr">
        <is>
          <t>Fri 18 Dec 2026</t>
        </is>
      </c>
      <c r="C9" s="7" t="inlineStr">
        <is>
          <t>same USPS release (22 Sep 2026)</t>
        </is>
      </c>
      <c r="D9" s="7" t="inlineStr">
        <is>
          <t>seen in snippet</t>
        </is>
      </c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inlineStr">
        <is>
          <t>USPS Priority Mail Express</t>
        </is>
      </c>
      <c r="B10" s="7" t="inlineStr">
        <is>
          <t>Sat 19 Dec 2026</t>
        </is>
      </c>
      <c r="C10" s="7" t="inlineStr">
        <is>
          <t>same USPS release (22 Sep 2026)</t>
        </is>
      </c>
      <c r="D10" s="7" t="inlineStr">
        <is>
          <t>seen in snippet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inlineStr">
        <is>
          <t>FedEx Ground / Home Delivery</t>
        </is>
      </c>
      <c r="B11" s="7" t="inlineStr">
        <is>
          <t>15 to 19 Dec 2026 by lane</t>
        </is>
      </c>
      <c r="C11" s="7" t="inlineStr">
        <is>
          <t>https://www.fedex.com/content/dam/fedex/us-united-states/services/2026_Peak_Last_Day_to_ship.pdf</t>
        </is>
      </c>
      <c r="D11" s="7" t="inlineStr">
        <is>
          <t>seen in snippet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inlineStr">
        <is>
          <t>FedEx Express Saver / 2Day / Overnight</t>
        </is>
      </c>
      <c r="B12" s="7" t="inlineStr">
        <is>
          <t>21 / 22 / 23 Dec 2026</t>
        </is>
      </c>
      <c r="C12" s="7" t="inlineStr">
        <is>
          <t>same FedEx PDF</t>
        </is>
      </c>
      <c r="D12" s="7" t="inlineStr">
        <is>
          <t>seen in snippet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inlineStr">
        <is>
          <t>UPS Ground</t>
        </is>
      </c>
      <c r="B13" s="7" t="inlineStr">
        <is>
          <t>16 to 18 Dec (2025 dates; 2026 not published as of 22 Sep 2026)</t>
        </is>
      </c>
      <c r="C13" s="7" t="inlineStr">
        <is>
          <t>https://www.ups.com/us/en/support/shipping-support/shipping-services/holiday-shipping-schedule ; 2025 proxy via vesyl.com</t>
        </is>
      </c>
      <c r="D13" s="7" t="inlineStr">
        <is>
          <t>2026 unverified, 2025 used as proxy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inlineStr">
        <is>
          <t>UPS 2nd Day Air / Next Day Air</t>
        </is>
      </c>
      <c r="B14" s="7" t="inlineStr">
        <is>
          <t>22 / 23 Dec (2025 proxy)</t>
        </is>
      </c>
      <c r="C14" s="7" t="inlineStr">
        <is>
          <t>same</t>
        </is>
      </c>
      <c r="D14" s="7" t="inlineStr">
        <is>
          <t>2026 unverified, 2025 used as proxy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1" t="inlineStr">
        <is>
          <t>ID</t>
        </is>
      </c>
      <c r="B16" s="1" t="inlineStr">
        <is>
          <t>Product</t>
        </is>
      </c>
      <c r="C16" s="1" t="inlineStr">
        <is>
          <t>Bank</t>
        </is>
      </c>
      <c r="D16" s="1" t="inlineStr">
        <is>
          <t>Winner supplier</t>
        </is>
      </c>
      <c r="E16" s="1" t="inlineStr">
        <is>
          <t>Warehouse</t>
        </is>
      </c>
      <c r="F16" s="1" t="inlineStr">
        <is>
          <t>Max quoted days</t>
        </is>
      </c>
      <c r="G16" s="1" t="inlineStr">
        <is>
          <t>Total lead days</t>
        </is>
      </c>
      <c r="H16" s="1" t="inlineStr">
        <is>
          <t>Order by for Halloween</t>
        </is>
      </c>
      <c r="I16" s="1" t="inlineStr">
        <is>
          <t>Order by for Christmas</t>
        </is>
      </c>
      <c r="J16" s="1" t="inlineStr">
        <is>
          <t>Order by for New Year's Eve</t>
        </is>
      </c>
      <c r="K16" s="1" t="inlineStr">
        <is>
          <t>Christmas order-by before 5 Dec?</t>
        </is>
      </c>
      <c r="L16" s="1" t="inlineStr">
        <is>
          <t>Q4 status</t>
        </is>
      </c>
    </row>
    <row r="17">
      <c r="A17" s="15" t="inlineStr">
        <is>
          <t>Q01</t>
        </is>
      </c>
      <c r="B17" s="15" t="inlineStr">
        <is>
          <t>Fluffy pink bunny ears headband</t>
        </is>
      </c>
      <c r="C17" s="15" t="inlineStr">
        <is>
          <t>Q4</t>
        </is>
      </c>
      <c r="D17" s="15" t="inlineStr">
        <is>
          <t>CJ Dropshipping (US warehouse filter)</t>
        </is>
      </c>
      <c r="E17" s="15" t="inlineStr">
        <is>
          <t>US (NJ or CA)</t>
        </is>
      </c>
      <c r="F17" s="5" t="n">
        <v>9</v>
      </c>
      <c r="G17" s="15">
        <f>F17+$B$2+$B$3</f>
        <v>14</v>
      </c>
      <c r="H17" s="23">
        <f>WORKDAY($B$4-G17+1,-1)</f>
        <v>46311</v>
      </c>
      <c r="I17" s="23">
        <f>WORKDAY($B$5-G17+1,-1)</f>
        <v>46367</v>
      </c>
      <c r="J17" s="23">
        <f>WORKDAY($B$6-G17+1,-1)</f>
        <v>46373</v>
      </c>
      <c r="K17" s="15" t="str">
        <f>IF(I17&lt;DATE(2026,12,5),"YES: not a Christmas product","no")</f>
        <v>no</v>
      </c>
      <c r="L17" s="15" t="str">
        <f>IF(F17&gt;=15,"EXCLUDED from Q4 (15+ day quote)",IF(I17&lt;DATE(2026,12,5),"Halloween/BF only","Q4 OK"))</f>
        <v>Q4 OK</v>
      </c>
    </row>
    <row r="18">
      <c r="A18" s="15" t="inlineStr">
        <is>
          <t>Q02</t>
        </is>
      </c>
      <c r="B18" s="15" t="inlineStr">
        <is>
          <t>Pink velvet pumpkins, set of 12</t>
        </is>
      </c>
      <c r="C18" s="15" t="inlineStr">
        <is>
          <t>Q4</t>
        </is>
      </c>
      <c r="D18" s="15" t="inlineStr">
        <is>
          <t>CJ Dropshipping (US warehouse filter)</t>
        </is>
      </c>
      <c r="E18" s="15" t="inlineStr">
        <is>
          <t>US (NJ or CA)</t>
        </is>
      </c>
      <c r="F18" s="5" t="n">
        <v>9</v>
      </c>
      <c r="G18" s="15">
        <f>F18+$B$2+$B$3</f>
        <v>14</v>
      </c>
      <c r="H18" s="23">
        <f>WORKDAY($B$4-G18+1,-1)</f>
        <v>46311</v>
      </c>
      <c r="I18" s="23">
        <f>WORKDAY($B$5-G18+1,-1)</f>
        <v>46367</v>
      </c>
      <c r="J18" s="23">
        <f>WORKDAY($B$6-G18+1,-1)</f>
        <v>46373</v>
      </c>
      <c r="K18" s="15" t="str">
        <f>IF(I18&lt;DATE(2026,12,5),"YES: not a Christmas product","no")</f>
        <v>no</v>
      </c>
      <c r="L18" s="15" t="str">
        <f>IF(F18&gt;=15,"EXCLUDED from Q4 (15+ day quote)",IF(I18&lt;DATE(2026,12,5),"Halloween/BF only","Q4 OK"))</f>
        <v>Q4 OK</v>
      </c>
    </row>
    <row r="19">
      <c r="A19" s="15" t="inlineStr">
        <is>
          <t>Q03</t>
        </is>
      </c>
      <c r="B19" s="15" t="inlineStr">
        <is>
          <t>Pink faux fur throw blanket, 50 by 60</t>
        </is>
      </c>
      <c r="C19" s="15" t="inlineStr">
        <is>
          <t>Q4</t>
        </is>
      </c>
      <c r="D19" s="15" t="inlineStr">
        <is>
          <t>CJ Dropshipping (US warehouse filter)</t>
        </is>
      </c>
      <c r="E19" s="15" t="inlineStr">
        <is>
          <t>US (NJ or CA)</t>
        </is>
      </c>
      <c r="F19" s="5" t="n">
        <v>9</v>
      </c>
      <c r="G19" s="15">
        <f>F19+$B$2+$B$3</f>
        <v>14</v>
      </c>
      <c r="H19" s="23">
        <f>WORKDAY($B$4-G19+1,-1)</f>
        <v>46311</v>
      </c>
      <c r="I19" s="23">
        <f>WORKDAY($B$5-G19+1,-1)</f>
        <v>46367</v>
      </c>
      <c r="J19" s="23">
        <f>WORKDAY($B$6-G19+1,-1)</f>
        <v>46373</v>
      </c>
      <c r="K19" s="15" t="str">
        <f>IF(I19&lt;DATE(2026,12,5),"YES: not a Christmas product","no")</f>
        <v>no</v>
      </c>
      <c r="L19" s="15" t="str">
        <f>IF(F19&gt;=15,"EXCLUDED from Q4 (15+ day quote)",IF(I19&lt;DATE(2026,12,5),"Halloween/BF only","Q4 OK"))</f>
        <v>Q4 OK</v>
      </c>
    </row>
    <row r="20">
      <c r="A20" s="15" t="inlineStr">
        <is>
          <t>Q04</t>
        </is>
      </c>
      <c r="B20" s="15" t="inlineStr">
        <is>
          <t>Pink velvet throw pillow covers, pair</t>
        </is>
      </c>
      <c r="C20" s="15" t="inlineStr">
        <is>
          <t>Q4</t>
        </is>
      </c>
      <c r="D20" s="15" t="inlineStr">
        <is>
          <t>CJ Dropshipping (US warehouse filter)</t>
        </is>
      </c>
      <c r="E20" s="15" t="inlineStr">
        <is>
          <t>US (NJ or CA)</t>
        </is>
      </c>
      <c r="F20" s="5" t="n">
        <v>9</v>
      </c>
      <c r="G20" s="15">
        <f>F20+$B$2+$B$3</f>
        <v>14</v>
      </c>
      <c r="H20" s="23">
        <f>WORKDAY($B$4-G20+1,-1)</f>
        <v>46311</v>
      </c>
      <c r="I20" s="23">
        <f>WORKDAY($B$5-G20+1,-1)</f>
        <v>46367</v>
      </c>
      <c r="J20" s="23">
        <f>WORKDAY($B$6-G20+1,-1)</f>
        <v>46373</v>
      </c>
      <c r="K20" s="15" t="str">
        <f>IF(I20&lt;DATE(2026,12,5),"YES: not a Christmas product","no")</f>
        <v>no</v>
      </c>
      <c r="L20" s="15" t="str">
        <f>IF(F20&gt;=15,"EXCLUDED from Q4 (15+ day quote)",IF(I20&lt;DATE(2026,12,5),"Halloween/BF only","Q4 OK"))</f>
        <v>Q4 OK</v>
      </c>
    </row>
    <row r="21">
      <c r="A21" s="15" t="inlineStr">
        <is>
          <t>Q05</t>
        </is>
      </c>
      <c r="B21" s="15" t="inlineStr">
        <is>
          <t>Pink reusable party cups, 16 oz pack</t>
        </is>
      </c>
      <c r="C21" s="15" t="inlineStr">
        <is>
          <t>Q4</t>
        </is>
      </c>
      <c r="D21" s="15" t="inlineStr">
        <is>
          <t>CJ Dropshipping (US warehouse filter)</t>
        </is>
      </c>
      <c r="E21" s="15" t="inlineStr">
        <is>
          <t>US (NJ or CA)</t>
        </is>
      </c>
      <c r="F21" s="5" t="n">
        <v>9</v>
      </c>
      <c r="G21" s="15">
        <f>F21+$B$2+$B$3</f>
        <v>14</v>
      </c>
      <c r="H21" s="23">
        <f>WORKDAY($B$4-G21+1,-1)</f>
        <v>46311</v>
      </c>
      <c r="I21" s="23">
        <f>WORKDAY($B$5-G21+1,-1)</f>
        <v>46367</v>
      </c>
      <c r="J21" s="23">
        <f>WORKDAY($B$6-G21+1,-1)</f>
        <v>46373</v>
      </c>
      <c r="K21" s="15" t="str">
        <f>IF(I21&lt;DATE(2026,12,5),"YES: not a Christmas product","no")</f>
        <v>no</v>
      </c>
      <c r="L21" s="15" t="str">
        <f>IF(F21&gt;=15,"EXCLUDED from Q4 (15+ day quote)",IF(I21&lt;DATE(2026,12,5),"Halloween/BF only","Q4 OK"))</f>
        <v>Q4 OK</v>
      </c>
    </row>
    <row r="22">
      <c r="A22" s="15" t="inlineStr">
        <is>
          <t>Q06</t>
        </is>
      </c>
      <c r="B22" s="15" t="inlineStr">
        <is>
          <t>Pink velvet Christmas tree bows, 24 pack</t>
        </is>
      </c>
      <c r="C22" s="15" t="inlineStr">
        <is>
          <t>Q4</t>
        </is>
      </c>
      <c r="D22" s="15" t="inlineStr">
        <is>
          <t>CJ Dropshipping (US warehouse filter)</t>
        </is>
      </c>
      <c r="E22" s="15" t="inlineStr">
        <is>
          <t>US (NJ or CA)</t>
        </is>
      </c>
      <c r="F22" s="5" t="n">
        <v>9</v>
      </c>
      <c r="G22" s="15">
        <f>F22+$B$2+$B$3</f>
        <v>14</v>
      </c>
      <c r="H22" s="23">
        <f>WORKDAY($B$4-G22+1,-1)</f>
        <v>46311</v>
      </c>
      <c r="I22" s="23">
        <f>WORKDAY($B$5-G22+1,-1)</f>
        <v>46367</v>
      </c>
      <c r="J22" s="23">
        <f>WORKDAY($B$6-G22+1,-1)</f>
        <v>46373</v>
      </c>
      <c r="K22" s="15" t="str">
        <f>IF(I22&lt;DATE(2026,12,5),"YES: not a Christmas product","no")</f>
        <v>no</v>
      </c>
      <c r="L22" s="15" t="str">
        <f>IF(F22&gt;=15,"EXCLUDED from Q4 (15+ day quote)",IF(I22&lt;DATE(2026,12,5),"Halloween/BF only","Q4 OK"))</f>
        <v>Q4 OK</v>
      </c>
    </row>
    <row r="23">
      <c r="A23" s="15" t="inlineStr">
        <is>
          <t>Q07</t>
        </is>
      </c>
      <c r="B23" s="15" t="inlineStr">
        <is>
          <t>Pink velvet bow garland, 6 ft</t>
        </is>
      </c>
      <c r="C23" s="15" t="inlineStr">
        <is>
          <t>Q4</t>
        </is>
      </c>
      <c r="D23" s="15" t="inlineStr">
        <is>
          <t>CJ Dropshipping (US warehouse filter)</t>
        </is>
      </c>
      <c r="E23" s="15" t="inlineStr">
        <is>
          <t>US (NJ or CA)</t>
        </is>
      </c>
      <c r="F23" s="5" t="n">
        <v>9</v>
      </c>
      <c r="G23" s="15">
        <f>F23+$B$2+$B$3</f>
        <v>14</v>
      </c>
      <c r="H23" s="23">
        <f>WORKDAY($B$4-G23+1,-1)</f>
        <v>46311</v>
      </c>
      <c r="I23" s="23">
        <f>WORKDAY($B$5-G23+1,-1)</f>
        <v>46367</v>
      </c>
      <c r="J23" s="23">
        <f>WORKDAY($B$6-G23+1,-1)</f>
        <v>46373</v>
      </c>
      <c r="K23" s="15" t="str">
        <f>IF(I23&lt;DATE(2026,12,5),"YES: not a Christmas product","no")</f>
        <v>no</v>
      </c>
      <c r="L23" s="15" t="str">
        <f>IF(F23&gt;=15,"EXCLUDED from Q4 (15+ day quote)",IF(I23&lt;DATE(2026,12,5),"Halloween/BF only","Q4 OK"))</f>
        <v>Q4 OK</v>
      </c>
    </row>
    <row r="24">
      <c r="A24" s="15" t="inlineStr">
        <is>
          <t>Q08</t>
        </is>
      </c>
      <c r="B24" s="15" t="inlineStr">
        <is>
          <t>Pink shatterproof ornament set, 45 pieces</t>
        </is>
      </c>
      <c r="C24" s="15" t="inlineStr">
        <is>
          <t>Q4</t>
        </is>
      </c>
      <c r="D24" s="15" t="inlineStr">
        <is>
          <t>CJ Dropshipping (US warehouse filter)</t>
        </is>
      </c>
      <c r="E24" s="15" t="inlineStr">
        <is>
          <t>US (NJ or CA)</t>
        </is>
      </c>
      <c r="F24" s="5" t="n">
        <v>9</v>
      </c>
      <c r="G24" s="15">
        <f>F24+$B$2+$B$3</f>
        <v>14</v>
      </c>
      <c r="H24" s="23">
        <f>WORKDAY($B$4-G24+1,-1)</f>
        <v>46311</v>
      </c>
      <c r="I24" s="23">
        <f>WORKDAY($B$5-G24+1,-1)</f>
        <v>46367</v>
      </c>
      <c r="J24" s="23">
        <f>WORKDAY($B$6-G24+1,-1)</f>
        <v>46373</v>
      </c>
      <c r="K24" s="15" t="str">
        <f>IF(I24&lt;DATE(2026,12,5),"YES: not a Christmas product","no")</f>
        <v>no</v>
      </c>
      <c r="L24" s="15" t="str">
        <f>IF(F24&gt;=15,"EXCLUDED from Q4 (15+ day quote)",IF(I24&lt;DATE(2026,12,5),"Halloween/BF only","Q4 OK"))</f>
        <v>Q4 OK</v>
      </c>
    </row>
    <row r="25">
      <c r="A25" s="15" t="inlineStr">
        <is>
          <t>Q09</t>
        </is>
      </c>
      <c r="B25" s="15" t="inlineStr">
        <is>
          <t>Pink velvet Christmas stocking with bow</t>
        </is>
      </c>
      <c r="C25" s="15" t="inlineStr">
        <is>
          <t>Q4</t>
        </is>
      </c>
      <c r="D25" s="15" t="inlineStr">
        <is>
          <t>CJ Dropshipping (US warehouse filter)</t>
        </is>
      </c>
      <c r="E25" s="15" t="inlineStr">
        <is>
          <t>US (NJ or CA)</t>
        </is>
      </c>
      <c r="F25" s="5" t="n">
        <v>9</v>
      </c>
      <c r="G25" s="15">
        <f>F25+$B$2+$B$3</f>
        <v>14</v>
      </c>
      <c r="H25" s="23">
        <f>WORKDAY($B$4-G25+1,-1)</f>
        <v>46311</v>
      </c>
      <c r="I25" s="23">
        <f>WORKDAY($B$5-G25+1,-1)</f>
        <v>46367</v>
      </c>
      <c r="J25" s="23">
        <f>WORKDAY($B$6-G25+1,-1)</f>
        <v>46373</v>
      </c>
      <c r="K25" s="15" t="str">
        <f>IF(I25&lt;DATE(2026,12,5),"YES: not a Christmas product","no")</f>
        <v>no</v>
      </c>
      <c r="L25" s="15" t="str">
        <f>IF(F25&gt;=15,"EXCLUDED from Q4 (15+ day quote)",IF(I25&lt;DATE(2026,12,5),"Halloween/BF only","Q4 OK"))</f>
        <v>Q4 OK</v>
      </c>
    </row>
    <row r="26">
      <c r="A26" s="15" t="inlineStr">
        <is>
          <t>Q10</t>
        </is>
      </c>
      <c r="B26" s="15" t="inlineStr">
        <is>
          <t>Pink flocked tabletop Christmas tree, 2 ft, unlit</t>
        </is>
      </c>
      <c r="C26" s="15" t="inlineStr">
        <is>
          <t>Q4</t>
        </is>
      </c>
      <c r="D26" s="15" t="inlineStr">
        <is>
          <t>CJ Dropshipping (US warehouse filter)</t>
        </is>
      </c>
      <c r="E26" s="15" t="inlineStr">
        <is>
          <t>US (NJ or CA)</t>
        </is>
      </c>
      <c r="F26" s="5" t="n">
        <v>9</v>
      </c>
      <c r="G26" s="15">
        <f>F26+$B$2+$B$3</f>
        <v>14</v>
      </c>
      <c r="H26" s="23">
        <f>WORKDAY($B$4-G26+1,-1)</f>
        <v>46311</v>
      </c>
      <c r="I26" s="23">
        <f>WORKDAY($B$5-G26+1,-1)</f>
        <v>46367</v>
      </c>
      <c r="J26" s="23">
        <f>WORKDAY($B$6-G26+1,-1)</f>
        <v>46373</v>
      </c>
      <c r="K26" s="15" t="str">
        <f>IF(I26&lt;DATE(2026,12,5),"YES: not a Christmas product","no")</f>
        <v>no</v>
      </c>
      <c r="L26" s="15" t="str">
        <f>IF(F26&gt;=15,"EXCLUDED from Q4 (15+ day quote)",IF(I26&lt;DATE(2026,12,5),"Halloween/BF only","Q4 OK"))</f>
        <v>Q4 OK</v>
      </c>
    </row>
    <row r="27">
      <c r="A27" s="15" t="inlineStr">
        <is>
          <t>Q11</t>
        </is>
      </c>
      <c r="B27" s="15" t="inlineStr">
        <is>
          <t>Pink 40 oz insulated tumbler with handle and straw</t>
        </is>
      </c>
      <c r="C27" s="15" t="inlineStr">
        <is>
          <t>Q4</t>
        </is>
      </c>
      <c r="D27" s="15" t="inlineStr">
        <is>
          <t>CJ Dropshipping (US warehouse filter)</t>
        </is>
      </c>
      <c r="E27" s="15" t="inlineStr">
        <is>
          <t>US (NJ or CA)</t>
        </is>
      </c>
      <c r="F27" s="5" t="n">
        <v>9</v>
      </c>
      <c r="G27" s="15">
        <f>F27+$B$2+$B$3</f>
        <v>14</v>
      </c>
      <c r="H27" s="23">
        <f>WORKDAY($B$4-G27+1,-1)</f>
        <v>46311</v>
      </c>
      <c r="I27" s="23">
        <f>WORKDAY($B$5-G27+1,-1)</f>
        <v>46367</v>
      </c>
      <c r="J27" s="23">
        <f>WORKDAY($B$6-G27+1,-1)</f>
        <v>46373</v>
      </c>
      <c r="K27" s="15" t="str">
        <f>IF(I27&lt;DATE(2026,12,5),"YES: not a Christmas product","no")</f>
        <v>no</v>
      </c>
      <c r="L27" s="15" t="str">
        <f>IF(F27&gt;=15,"EXCLUDED from Q4 (15+ day quote)",IF(I27&lt;DATE(2026,12,5),"Halloween/BF only","Q4 OK"))</f>
        <v>Q4 OK</v>
      </c>
    </row>
    <row r="28">
      <c r="A28" s="15" t="inlineStr">
        <is>
          <t>Q12</t>
        </is>
      </c>
      <c r="B28" s="15" t="inlineStr">
        <is>
          <t>Pink velvet jewelry box with lock</t>
        </is>
      </c>
      <c r="C28" s="15" t="inlineStr">
        <is>
          <t>Q4</t>
        </is>
      </c>
      <c r="D28" s="15" t="inlineStr">
        <is>
          <t>CJ Dropshipping (US warehouse filter)</t>
        </is>
      </c>
      <c r="E28" s="15" t="inlineStr">
        <is>
          <t>US (NJ or CA)</t>
        </is>
      </c>
      <c r="F28" s="5" t="n">
        <v>9</v>
      </c>
      <c r="G28" s="15">
        <f>F28+$B$2+$B$3</f>
        <v>14</v>
      </c>
      <c r="H28" s="23">
        <f>WORKDAY($B$4-G28+1,-1)</f>
        <v>46311</v>
      </c>
      <c r="I28" s="23">
        <f>WORKDAY($B$5-G28+1,-1)</f>
        <v>46367</v>
      </c>
      <c r="J28" s="23">
        <f>WORKDAY($B$6-G28+1,-1)</f>
        <v>46373</v>
      </c>
      <c r="K28" s="15" t="str">
        <f>IF(I28&lt;DATE(2026,12,5),"YES: not a Christmas product","no")</f>
        <v>no</v>
      </c>
      <c r="L28" s="15" t="str">
        <f>IF(F28&gt;=15,"EXCLUDED from Q4 (15+ day quote)",IF(I28&lt;DATE(2026,12,5),"Halloween/BF only","Q4 OK"))</f>
        <v>Q4 OK</v>
      </c>
    </row>
    <row r="29">
      <c r="A29" s="15" t="inlineStr">
        <is>
          <t>Q13</t>
        </is>
      </c>
      <c r="B29" s="15" t="inlineStr">
        <is>
          <t>Blush pink packing cubes, 8 piece set</t>
        </is>
      </c>
      <c r="C29" s="15" t="inlineStr">
        <is>
          <t>Q4</t>
        </is>
      </c>
      <c r="D29" s="15" t="inlineStr">
        <is>
          <t>CJ Dropshipping (US warehouse filter)</t>
        </is>
      </c>
      <c r="E29" s="15" t="inlineStr">
        <is>
          <t>US (NJ or CA)</t>
        </is>
      </c>
      <c r="F29" s="5" t="n">
        <v>9</v>
      </c>
      <c r="G29" s="15">
        <f>F29+$B$2+$B$3</f>
        <v>14</v>
      </c>
      <c r="H29" s="23">
        <f>WORKDAY($B$4-G29+1,-1)</f>
        <v>46311</v>
      </c>
      <c r="I29" s="23">
        <f>WORKDAY($B$5-G29+1,-1)</f>
        <v>46367</v>
      </c>
      <c r="J29" s="23">
        <f>WORKDAY($B$6-G29+1,-1)</f>
        <v>46373</v>
      </c>
      <c r="K29" s="15" t="str">
        <f>IF(I29&lt;DATE(2026,12,5),"YES: not a Christmas product","no")</f>
        <v>no</v>
      </c>
      <c r="L29" s="15" t="str">
        <f>IF(F29&gt;=15,"EXCLUDED from Q4 (15+ day quote)",IF(I29&lt;DATE(2026,12,5),"Halloween/BF only","Q4 OK"))</f>
        <v>Q4 OK</v>
      </c>
    </row>
    <row r="30">
      <c r="A30" s="15" t="inlineStr">
        <is>
          <t>Q14</t>
        </is>
      </c>
      <c r="B30" s="15" t="inlineStr">
        <is>
          <t>Pink satin sleep bonnet, adjustable</t>
        </is>
      </c>
      <c r="C30" s="15" t="inlineStr">
        <is>
          <t>Q4</t>
        </is>
      </c>
      <c r="D30" s="15" t="inlineStr">
        <is>
          <t>CJ Dropshipping (US warehouse filter)</t>
        </is>
      </c>
      <c r="E30" s="15" t="inlineStr">
        <is>
          <t>US (NJ or CA)</t>
        </is>
      </c>
      <c r="F30" s="5" t="n">
        <v>9</v>
      </c>
      <c r="G30" s="15">
        <f>F30+$B$2+$B$3</f>
        <v>14</v>
      </c>
      <c r="H30" s="23">
        <f>WORKDAY($B$4-G30+1,-1)</f>
        <v>46311</v>
      </c>
      <c r="I30" s="23">
        <f>WORKDAY($B$5-G30+1,-1)</f>
        <v>46367</v>
      </c>
      <c r="J30" s="23">
        <f>WORKDAY($B$6-G30+1,-1)</f>
        <v>46373</v>
      </c>
      <c r="K30" s="15" t="str">
        <f>IF(I30&lt;DATE(2026,12,5),"YES: not a Christmas product","no")</f>
        <v>no</v>
      </c>
      <c r="L30" s="15" t="str">
        <f>IF(F30&gt;=15,"EXCLUDED from Q4 (15+ day quote)",IF(I30&lt;DATE(2026,12,5),"Halloween/BF only","Q4 OK"))</f>
        <v>Q4 OK</v>
      </c>
    </row>
    <row r="31">
      <c r="A31" s="15" t="inlineStr">
        <is>
          <t>Q15</t>
        </is>
      </c>
      <c r="B31" s="15" t="inlineStr">
        <is>
          <t>Pink bow champagne flutes, set of 2</t>
        </is>
      </c>
      <c r="C31" s="15" t="inlineStr">
        <is>
          <t>Q4</t>
        </is>
      </c>
      <c r="D31" s="15" t="inlineStr">
        <is>
          <t>CJ Dropshipping (US warehouse filter)</t>
        </is>
      </c>
      <c r="E31" s="15" t="inlineStr">
        <is>
          <t>US (NJ or CA)</t>
        </is>
      </c>
      <c r="F31" s="5" t="n">
        <v>9</v>
      </c>
      <c r="G31" s="15">
        <f>F31+$B$2+$B$3</f>
        <v>14</v>
      </c>
      <c r="H31" s="23">
        <f>WORKDAY($B$4-G31+1,-1)</f>
        <v>46311</v>
      </c>
      <c r="I31" s="23">
        <f>WORKDAY($B$5-G31+1,-1)</f>
        <v>46367</v>
      </c>
      <c r="J31" s="23">
        <f>WORKDAY($B$6-G31+1,-1)</f>
        <v>46373</v>
      </c>
      <c r="K31" s="15" t="str">
        <f>IF(I31&lt;DATE(2026,12,5),"YES: not a Christmas product","no")</f>
        <v>no</v>
      </c>
      <c r="L31" s="15" t="str">
        <f>IF(F31&gt;=15,"EXCLUDED from Q4 (15+ day quote)",IF(I31&lt;DATE(2026,12,5),"Halloween/BF only","Q4 OK"))</f>
        <v>Q4 OK</v>
      </c>
    </row>
    <row r="32">
      <c r="A32" s="15" t="inlineStr">
        <is>
          <t>Q16</t>
        </is>
      </c>
      <c r="B32" s="15" t="inlineStr">
        <is>
          <t>Pink 2027 weekly and monthly planner, hardcover</t>
        </is>
      </c>
      <c r="C32" s="15" t="inlineStr">
        <is>
          <t>Q4</t>
        </is>
      </c>
      <c r="D32" s="15" t="inlineStr">
        <is>
          <t>CJ Dropshipping (US warehouse filter)</t>
        </is>
      </c>
      <c r="E32" s="15" t="inlineStr">
        <is>
          <t>US (NJ or CA)</t>
        </is>
      </c>
      <c r="F32" s="5" t="n">
        <v>9</v>
      </c>
      <c r="G32" s="15">
        <f>F32+$B$2+$B$3</f>
        <v>14</v>
      </c>
      <c r="H32" s="23">
        <f>WORKDAY($B$4-G32+1,-1)</f>
        <v>46311</v>
      </c>
      <c r="I32" s="23">
        <f>WORKDAY($B$5-G32+1,-1)</f>
        <v>46367</v>
      </c>
      <c r="J32" s="23">
        <f>WORKDAY($B$6-G32+1,-1)</f>
        <v>46373</v>
      </c>
      <c r="K32" s="15" t="str">
        <f>IF(I32&lt;DATE(2026,12,5),"YES: not a Christmas product","no")</f>
        <v>no</v>
      </c>
      <c r="L32" s="15" t="str">
        <f>IF(F32&gt;=15,"EXCLUDED from Q4 (15+ day quote)",IF(I32&lt;DATE(2026,12,5),"Halloween/BF only","Q4 OK"))</f>
        <v>Q4 OK</v>
      </c>
    </row>
    <row r="33">
      <c r="A33" s="15" t="inlineStr">
        <is>
          <t>E01</t>
        </is>
      </c>
      <c r="B33" s="15" t="inlineStr">
        <is>
          <t>Pink PU leather desk mat, large</t>
        </is>
      </c>
      <c r="C33" s="15" t="inlineStr">
        <is>
          <t>Evergreen</t>
        </is>
      </c>
      <c r="D33" s="15" t="inlineStr">
        <is>
          <t>CJ Dropshipping (US warehouse filter)</t>
        </is>
      </c>
      <c r="E33" s="15" t="inlineStr">
        <is>
          <t>US (NJ or CA)</t>
        </is>
      </c>
      <c r="F33" s="5" t="n">
        <v>9</v>
      </c>
      <c r="G33" s="15">
        <f>F33+$B$2+$B$3</f>
        <v>14</v>
      </c>
      <c r="H33" s="23">
        <f>WORKDAY($B$4-G33+1,-1)</f>
        <v>46311</v>
      </c>
      <c r="I33" s="23">
        <f>WORKDAY($B$5-G33+1,-1)</f>
        <v>46367</v>
      </c>
      <c r="J33" s="23">
        <f>WORKDAY($B$6-G33+1,-1)</f>
        <v>46373</v>
      </c>
      <c r="K33" s="15" t="str">
        <f>IF(I33&lt;DATE(2026,12,5),"YES: not a Christmas product","no")</f>
        <v>no</v>
      </c>
      <c r="L33" s="15" t="str">
        <f>IF(F33&gt;=15,"EXCLUDED from Q4 (15+ day quote)",IF(I33&lt;DATE(2026,12,5),"Halloween/BF only","Q4 OK"))</f>
        <v>Q4 OK</v>
      </c>
    </row>
    <row r="34">
      <c r="A34" s="15" t="inlineStr">
        <is>
          <t>E02</t>
        </is>
      </c>
      <c r="B34" s="15" t="inlineStr">
        <is>
          <t>Pink acrylic desk organizer with pen cup</t>
        </is>
      </c>
      <c r="C34" s="15" t="inlineStr">
        <is>
          <t>Evergreen</t>
        </is>
      </c>
      <c r="D34" s="15" t="inlineStr">
        <is>
          <t>CJ Dropshipping (US warehouse filter)</t>
        </is>
      </c>
      <c r="E34" s="15" t="inlineStr">
        <is>
          <t>US (NJ or CA)</t>
        </is>
      </c>
      <c r="F34" s="5" t="n">
        <v>9</v>
      </c>
      <c r="G34" s="15">
        <f>F34+$B$2+$B$3</f>
        <v>14</v>
      </c>
      <c r="H34" s="23">
        <f>WORKDAY($B$4-G34+1,-1)</f>
        <v>46311</v>
      </c>
      <c r="I34" s="23">
        <f>WORKDAY($B$5-G34+1,-1)</f>
        <v>46367</v>
      </c>
      <c r="J34" s="23">
        <f>WORKDAY($B$6-G34+1,-1)</f>
        <v>46373</v>
      </c>
      <c r="K34" s="15" t="str">
        <f>IF(I34&lt;DATE(2026,12,5),"YES: not a Christmas product","no")</f>
        <v>no</v>
      </c>
      <c r="L34" s="15" t="str">
        <f>IF(F34&gt;=15,"EXCLUDED from Q4 (15+ day quote)",IF(I34&lt;DATE(2026,12,5),"Halloween/BF only","Q4 OK"))</f>
        <v>Q4 OK</v>
      </c>
    </row>
    <row r="35">
      <c r="A35" s="15" t="inlineStr">
        <is>
          <t>E03</t>
        </is>
      </c>
      <c r="B35" s="15" t="inlineStr">
        <is>
          <t>Pink desk stationery set (stapler, tape dispenser, scissors, clips)</t>
        </is>
      </c>
      <c r="C35" s="15" t="inlineStr">
        <is>
          <t>Evergreen</t>
        </is>
      </c>
      <c r="D35" s="15" t="inlineStr">
        <is>
          <t>CJ Dropshipping (US warehouse filter)</t>
        </is>
      </c>
      <c r="E35" s="15" t="inlineStr">
        <is>
          <t>US (NJ or CA)</t>
        </is>
      </c>
      <c r="F35" s="5" t="n">
        <v>9</v>
      </c>
      <c r="G35" s="15">
        <f>F35+$B$2+$B$3</f>
        <v>14</v>
      </c>
      <c r="H35" s="23">
        <f>WORKDAY($B$4-G35+1,-1)</f>
        <v>46311</v>
      </c>
      <c r="I35" s="23">
        <f>WORKDAY($B$5-G35+1,-1)</f>
        <v>46367</v>
      </c>
      <c r="J35" s="23">
        <f>WORKDAY($B$6-G35+1,-1)</f>
        <v>46373</v>
      </c>
      <c r="K35" s="15" t="str">
        <f>IF(I35&lt;DATE(2026,12,5),"YES: not a Christmas product","no")</f>
        <v>no</v>
      </c>
      <c r="L35" s="15" t="str">
        <f>IF(F35&gt;=15,"EXCLUDED from Q4 (15+ day quote)",IF(I35&lt;DATE(2026,12,5),"Halloween/BF only","Q4 OK"))</f>
        <v>Q4 OK</v>
      </c>
    </row>
    <row r="36">
      <c r="A36" s="15" t="inlineStr">
        <is>
          <t>E04</t>
        </is>
      </c>
      <c r="B36" s="15" t="inlineStr">
        <is>
          <t>Pink aesthetic sticky notes and tabs set</t>
        </is>
      </c>
      <c r="C36" s="15" t="inlineStr">
        <is>
          <t>Evergreen</t>
        </is>
      </c>
      <c r="D36" s="15" t="inlineStr">
        <is>
          <t>CJ Dropshipping (US warehouse filter)</t>
        </is>
      </c>
      <c r="E36" s="15" t="inlineStr">
        <is>
          <t>US (NJ or CA)</t>
        </is>
      </c>
      <c r="F36" s="5" t="n">
        <v>9</v>
      </c>
      <c r="G36" s="15">
        <f>F36+$B$2+$B$3</f>
        <v>14</v>
      </c>
      <c r="H36" s="23">
        <f>WORKDAY($B$4-G36+1,-1)</f>
        <v>46311</v>
      </c>
      <c r="I36" s="23">
        <f>WORKDAY($B$5-G36+1,-1)</f>
        <v>46367</v>
      </c>
      <c r="J36" s="23">
        <f>WORKDAY($B$6-G36+1,-1)</f>
        <v>46373</v>
      </c>
      <c r="K36" s="15" t="str">
        <f>IF(I36&lt;DATE(2026,12,5),"YES: not a Christmas product","no")</f>
        <v>no</v>
      </c>
      <c r="L36" s="15" t="str">
        <f>IF(F36&gt;=15,"EXCLUDED from Q4 (15+ day quote)",IF(I36&lt;DATE(2026,12,5),"Halloween/BF only","Q4 OK"))</f>
        <v>Q4 OK</v>
      </c>
    </row>
    <row r="37">
      <c r="A37" s="15" t="inlineStr">
        <is>
          <t>E05</t>
        </is>
      </c>
      <c r="B37" s="15" t="inlineStr">
        <is>
          <t>Pink wooden monitor riser with drawer</t>
        </is>
      </c>
      <c r="C37" s="15" t="inlineStr">
        <is>
          <t>Evergreen</t>
        </is>
      </c>
      <c r="D37" s="15" t="inlineStr">
        <is>
          <t>CJ Dropshipping (US warehouse filter)</t>
        </is>
      </c>
      <c r="E37" s="15" t="inlineStr">
        <is>
          <t>US (NJ or CA)</t>
        </is>
      </c>
      <c r="F37" s="5" t="n">
        <v>9</v>
      </c>
      <c r="G37" s="15">
        <f>F37+$B$2+$B$3</f>
        <v>14</v>
      </c>
      <c r="H37" s="23">
        <f>WORKDAY($B$4-G37+1,-1)</f>
        <v>46311</v>
      </c>
      <c r="I37" s="23">
        <f>WORKDAY($B$5-G37+1,-1)</f>
        <v>46367</v>
      </c>
      <c r="J37" s="23">
        <f>WORKDAY($B$6-G37+1,-1)</f>
        <v>46373</v>
      </c>
      <c r="K37" s="15" t="str">
        <f>IF(I37&lt;DATE(2026,12,5),"YES: not a Christmas product","no")</f>
        <v>no</v>
      </c>
      <c r="L37" s="15" t="str">
        <f>IF(F37&gt;=15,"EXCLUDED from Q4 (15+ day quote)",IF(I37&lt;DATE(2026,12,5),"Halloween/BF only","Q4 OK"))</f>
        <v>Q4 OK</v>
      </c>
    </row>
    <row r="38">
      <c r="A38" s="15" t="inlineStr">
        <is>
          <t>E06</t>
        </is>
      </c>
      <c r="B38" s="15" t="inlineStr">
        <is>
          <t>Cream laptop sleeve with pink bow, 13 to 14 inch</t>
        </is>
      </c>
      <c r="C38" s="15" t="inlineStr">
        <is>
          <t>Evergreen</t>
        </is>
      </c>
      <c r="D38" s="15" t="inlineStr">
        <is>
          <t>CJ Dropshipping (US warehouse filter)</t>
        </is>
      </c>
      <c r="E38" s="15" t="inlineStr">
        <is>
          <t>US (NJ or CA)</t>
        </is>
      </c>
      <c r="F38" s="5" t="n">
        <v>9</v>
      </c>
      <c r="G38" s="15">
        <f>F38+$B$2+$B$3</f>
        <v>14</v>
      </c>
      <c r="H38" s="23">
        <f>WORKDAY($B$4-G38+1,-1)</f>
        <v>46311</v>
      </c>
      <c r="I38" s="23">
        <f>WORKDAY($B$5-G38+1,-1)</f>
        <v>46367</v>
      </c>
      <c r="J38" s="23">
        <f>WORKDAY($B$6-G38+1,-1)</f>
        <v>46373</v>
      </c>
      <c r="K38" s="15" t="str">
        <f>IF(I38&lt;DATE(2026,12,5),"YES: not a Christmas product","no")</f>
        <v>no</v>
      </c>
      <c r="L38" s="15" t="str">
        <f>IF(F38&gt;=15,"EXCLUDED from Q4 (15+ day quote)",IF(I38&lt;DATE(2026,12,5),"Halloween/BF only","Q4 OK"))</f>
        <v>Q4 OK</v>
      </c>
    </row>
    <row r="39">
      <c r="A39" s="15" t="inlineStr">
        <is>
          <t>E07</t>
        </is>
      </c>
      <c r="B39" s="15" t="inlineStr">
        <is>
          <t>Pink quilted puffer laptop tote</t>
        </is>
      </c>
      <c r="C39" s="15" t="inlineStr">
        <is>
          <t>Evergreen</t>
        </is>
      </c>
      <c r="D39" s="15" t="inlineStr">
        <is>
          <t>CJ Dropshipping (US warehouse filter)</t>
        </is>
      </c>
      <c r="E39" s="15" t="inlineStr">
        <is>
          <t>US (NJ or CA)</t>
        </is>
      </c>
      <c r="F39" s="5" t="n">
        <v>9</v>
      </c>
      <c r="G39" s="15">
        <f>F39+$B$2+$B$3</f>
        <v>14</v>
      </c>
      <c r="H39" s="23">
        <f>WORKDAY($B$4-G39+1,-1)</f>
        <v>46311</v>
      </c>
      <c r="I39" s="23">
        <f>WORKDAY($B$5-G39+1,-1)</f>
        <v>46367</v>
      </c>
      <c r="J39" s="23">
        <f>WORKDAY($B$6-G39+1,-1)</f>
        <v>46373</v>
      </c>
      <c r="K39" s="15" t="str">
        <f>IF(I39&lt;DATE(2026,12,5),"YES: not a Christmas product","no")</f>
        <v>no</v>
      </c>
      <c r="L39" s="15" t="str">
        <f>IF(F39&gt;=15,"EXCLUDED from Q4 (15+ day quote)",IF(I39&lt;DATE(2026,12,5),"Halloween/BF only","Q4 OK"))</f>
        <v>Q4 OK</v>
      </c>
    </row>
    <row r="40">
      <c r="A40" s="15" t="inlineStr">
        <is>
          <t>E08</t>
        </is>
      </c>
      <c r="B40" s="15" t="inlineStr">
        <is>
          <t>Fluffy pink steering wheel cover, universal 15 inch</t>
        </is>
      </c>
      <c r="C40" s="15" t="inlineStr">
        <is>
          <t>Evergreen</t>
        </is>
      </c>
      <c r="D40" s="15" t="inlineStr">
        <is>
          <t>CJ Dropshipping (US warehouse filter)</t>
        </is>
      </c>
      <c r="E40" s="15" t="inlineStr">
        <is>
          <t>US (NJ or CA)</t>
        </is>
      </c>
      <c r="F40" s="5" t="n">
        <v>9</v>
      </c>
      <c r="G40" s="15">
        <f>F40+$B$2+$B$3</f>
        <v>14</v>
      </c>
      <c r="H40" s="23">
        <f>WORKDAY($B$4-G40+1,-1)</f>
        <v>46311</v>
      </c>
      <c r="I40" s="23">
        <f>WORKDAY($B$5-G40+1,-1)</f>
        <v>46367</v>
      </c>
      <c r="J40" s="23">
        <f>WORKDAY($B$6-G40+1,-1)</f>
        <v>46373</v>
      </c>
      <c r="K40" s="15" t="str">
        <f>IF(I40&lt;DATE(2026,12,5),"YES: not a Christmas product","no")</f>
        <v>no</v>
      </c>
      <c r="L40" s="15" t="str">
        <f>IF(F40&gt;=15,"EXCLUDED from Q4 (15+ day quote)",IF(I40&lt;DATE(2026,12,5),"Halloween/BF only","Q4 OK"))</f>
        <v>Q4 OK</v>
      </c>
    </row>
    <row r="41">
      <c r="A41" s="15" t="inlineStr">
        <is>
          <t>E09</t>
        </is>
      </c>
      <c r="B41" s="15" t="inlineStr">
        <is>
          <t>Pink leak-proof car trash can with lid</t>
        </is>
      </c>
      <c r="C41" s="15" t="inlineStr">
        <is>
          <t>Evergreen</t>
        </is>
      </c>
      <c r="D41" s="15" t="inlineStr">
        <is>
          <t>CJ Dropshipping (US warehouse filter)</t>
        </is>
      </c>
      <c r="E41" s="15" t="inlineStr">
        <is>
          <t>US (NJ or CA)</t>
        </is>
      </c>
      <c r="F41" s="5" t="n">
        <v>9</v>
      </c>
      <c r="G41" s="15">
        <f>F41+$B$2+$B$3</f>
        <v>14</v>
      </c>
      <c r="H41" s="23">
        <f>WORKDAY($B$4-G41+1,-1)</f>
        <v>46311</v>
      </c>
      <c r="I41" s="23">
        <f>WORKDAY($B$5-G41+1,-1)</f>
        <v>46367</v>
      </c>
      <c r="J41" s="23">
        <f>WORKDAY($B$6-G41+1,-1)</f>
        <v>46373</v>
      </c>
      <c r="K41" s="15" t="str">
        <f>IF(I41&lt;DATE(2026,12,5),"YES: not a Christmas product","no")</f>
        <v>no</v>
      </c>
      <c r="L41" s="15" t="str">
        <f>IF(F41&gt;=15,"EXCLUDED from Q4 (15+ day quote)",IF(I41&lt;DATE(2026,12,5),"Halloween/BF only","Q4 OK"))</f>
        <v>Q4 OK</v>
      </c>
    </row>
    <row r="42">
      <c r="A42" s="15" t="inlineStr">
        <is>
          <t>E10</t>
        </is>
      </c>
      <c r="B42" s="15" t="inlineStr">
        <is>
          <t>Bling rhinestone car cup coasters, pink, 2 pack</t>
        </is>
      </c>
      <c r="C42" s="15" t="inlineStr">
        <is>
          <t>Evergreen</t>
        </is>
      </c>
      <c r="D42" s="15" t="inlineStr">
        <is>
          <t>CJ Dropshipping (US warehouse filter)</t>
        </is>
      </c>
      <c r="E42" s="15" t="inlineStr">
        <is>
          <t>US (NJ or CA)</t>
        </is>
      </c>
      <c r="F42" s="5" t="n">
        <v>9</v>
      </c>
      <c r="G42" s="15">
        <f>F42+$B$2+$B$3</f>
        <v>14</v>
      </c>
      <c r="H42" s="23">
        <f>WORKDAY($B$4-G42+1,-1)</f>
        <v>46311</v>
      </c>
      <c r="I42" s="23">
        <f>WORKDAY($B$5-G42+1,-1)</f>
        <v>46367</v>
      </c>
      <c r="J42" s="23">
        <f>WORKDAY($B$6-G42+1,-1)</f>
        <v>46373</v>
      </c>
      <c r="K42" s="15" t="str">
        <f>IF(I42&lt;DATE(2026,12,5),"YES: not a Christmas product","no")</f>
        <v>no</v>
      </c>
      <c r="L42" s="15" t="str">
        <f>IF(F42&gt;=15,"EXCLUDED from Q4 (15+ day quote)",IF(I42&lt;DATE(2026,12,5),"Halloween/BF only","Q4 OK"))</f>
        <v>Q4 OK</v>
      </c>
    </row>
    <row r="43">
      <c r="A43" s="15" t="inlineStr">
        <is>
          <t>E11</t>
        </is>
      </c>
      <c r="B43" s="15" t="inlineStr">
        <is>
          <t>Plush pink seat belt covers with bow, pair</t>
        </is>
      </c>
      <c r="C43" s="15" t="inlineStr">
        <is>
          <t>Evergreen</t>
        </is>
      </c>
      <c r="D43" s="15" t="inlineStr">
        <is>
          <t>CJ Dropshipping (US warehouse filter)</t>
        </is>
      </c>
      <c r="E43" s="15" t="inlineStr">
        <is>
          <t>US (NJ or CA)</t>
        </is>
      </c>
      <c r="F43" s="5" t="n">
        <v>9</v>
      </c>
      <c r="G43" s="15">
        <f>F43+$B$2+$B$3</f>
        <v>14</v>
      </c>
      <c r="H43" s="23">
        <f>WORKDAY($B$4-G43+1,-1)</f>
        <v>46311</v>
      </c>
      <c r="I43" s="23">
        <f>WORKDAY($B$5-G43+1,-1)</f>
        <v>46367</v>
      </c>
      <c r="J43" s="23">
        <f>WORKDAY($B$6-G43+1,-1)</f>
        <v>46373</v>
      </c>
      <c r="K43" s="15" t="str">
        <f>IF(I43&lt;DATE(2026,12,5),"YES: not a Christmas product","no")</f>
        <v>no</v>
      </c>
      <c r="L43" s="15" t="str">
        <f>IF(F43&gt;=15,"EXCLUDED from Q4 (15+ day quote)",IF(I43&lt;DATE(2026,12,5),"Halloween/BF only","Q4 OK"))</f>
        <v>Q4 OK</v>
      </c>
    </row>
    <row r="44">
      <c r="A44" s="15" t="inlineStr">
        <is>
          <t>E12</t>
        </is>
      </c>
      <c r="B44" s="15" t="inlineStr">
        <is>
          <t>Pink magnetic suction car phone holder, no electronics</t>
        </is>
      </c>
      <c r="C44" s="15" t="inlineStr">
        <is>
          <t>Evergreen</t>
        </is>
      </c>
      <c r="D44" s="15" t="inlineStr">
        <is>
          <t>CJ Dropshipping (US warehouse filter)</t>
        </is>
      </c>
      <c r="E44" s="15" t="inlineStr">
        <is>
          <t>US (NJ or CA)</t>
        </is>
      </c>
      <c r="F44" s="5" t="n">
        <v>9</v>
      </c>
      <c r="G44" s="15">
        <f>F44+$B$2+$B$3</f>
        <v>14</v>
      </c>
      <c r="H44" s="23">
        <f>WORKDAY($B$4-G44+1,-1)</f>
        <v>46311</v>
      </c>
      <c r="I44" s="23">
        <f>WORKDAY($B$5-G44+1,-1)</f>
        <v>46367</v>
      </c>
      <c r="J44" s="23">
        <f>WORKDAY($B$6-G44+1,-1)</f>
        <v>46373</v>
      </c>
      <c r="K44" s="15" t="str">
        <f>IF(I44&lt;DATE(2026,12,5),"YES: not a Christmas product","no")</f>
        <v>no</v>
      </c>
      <c r="L44" s="15" t="str">
        <f>IF(F44&gt;=15,"EXCLUDED from Q4 (15+ day quote)",IF(I44&lt;DATE(2026,12,5),"Halloween/BF only","Q4 OK"))</f>
        <v>Q4 OK</v>
      </c>
    </row>
    <row r="45">
      <c r="A45" s="15" t="inlineStr">
        <is>
          <t>E13</t>
        </is>
      </c>
      <c r="B45" s="15" t="inlineStr">
        <is>
          <t>Pink large-capacity travel vanity bag</t>
        </is>
      </c>
      <c r="C45" s="15" t="inlineStr">
        <is>
          <t>Evergreen</t>
        </is>
      </c>
      <c r="D45" s="15" t="inlineStr">
        <is>
          <t>CJ Dropshipping (US warehouse filter)</t>
        </is>
      </c>
      <c r="E45" s="15" t="inlineStr">
        <is>
          <t>US (NJ or CA)</t>
        </is>
      </c>
      <c r="F45" s="5" t="n">
        <v>9</v>
      </c>
      <c r="G45" s="15">
        <f>F45+$B$2+$B$3</f>
        <v>14</v>
      </c>
      <c r="H45" s="23">
        <f>WORKDAY($B$4-G45+1,-1)</f>
        <v>46311</v>
      </c>
      <c r="I45" s="23">
        <f>WORKDAY($B$5-G45+1,-1)</f>
        <v>46367</v>
      </c>
      <c r="J45" s="23">
        <f>WORKDAY($B$6-G45+1,-1)</f>
        <v>46373</v>
      </c>
      <c r="K45" s="15" t="str">
        <f>IF(I45&lt;DATE(2026,12,5),"YES: not a Christmas product","no")</f>
        <v>no</v>
      </c>
      <c r="L45" s="15" t="str">
        <f>IF(F45&gt;=15,"EXCLUDED from Q4 (15+ day quote)",IF(I45&lt;DATE(2026,12,5),"Halloween/BF only","Q4 OK"))</f>
        <v>Q4 OK</v>
      </c>
    </row>
    <row r="46">
      <c r="A46" s="15" t="inlineStr">
        <is>
          <t>E14</t>
        </is>
      </c>
      <c r="B46" s="15" t="inlineStr">
        <is>
          <t>Pink glitter makeup brush holder cup</t>
        </is>
      </c>
      <c r="C46" s="15" t="inlineStr">
        <is>
          <t>Evergreen</t>
        </is>
      </c>
      <c r="D46" s="15" t="inlineStr">
        <is>
          <t>CJ Dropshipping (US warehouse filter)</t>
        </is>
      </c>
      <c r="E46" s="15" t="inlineStr">
        <is>
          <t>US (NJ or CA)</t>
        </is>
      </c>
      <c r="F46" s="5" t="n">
        <v>9</v>
      </c>
      <c r="G46" s="15">
        <f>F46+$B$2+$B$3</f>
        <v>14</v>
      </c>
      <c r="H46" s="23">
        <f>WORKDAY($B$4-G46+1,-1)</f>
        <v>46311</v>
      </c>
      <c r="I46" s="23">
        <f>WORKDAY($B$5-G46+1,-1)</f>
        <v>46367</v>
      </c>
      <c r="J46" s="23">
        <f>WORKDAY($B$6-G46+1,-1)</f>
        <v>46373</v>
      </c>
      <c r="K46" s="15" t="str">
        <f>IF(I46&lt;DATE(2026,12,5),"YES: not a Christmas product","no")</f>
        <v>no</v>
      </c>
      <c r="L46" s="15" t="str">
        <f>IF(F46&gt;=15,"EXCLUDED from Q4 (15+ day quote)",IF(I46&lt;DATE(2026,12,5),"Halloween/BF only","Q4 OK"))</f>
        <v>Q4 OK</v>
      </c>
    </row>
    <row r="47">
      <c r="A47" s="15" t="inlineStr">
        <is>
          <t>E15</t>
        </is>
      </c>
      <c r="B47" s="15" t="inlineStr">
        <is>
          <t>Clear acrylic 2-tier perfume and vanity tray</t>
        </is>
      </c>
      <c r="C47" s="15" t="inlineStr">
        <is>
          <t>Evergreen</t>
        </is>
      </c>
      <c r="D47" s="15" t="inlineStr">
        <is>
          <t>CJ Dropshipping (US warehouse filter)</t>
        </is>
      </c>
      <c r="E47" s="15" t="inlineStr">
        <is>
          <t>US (NJ or CA)</t>
        </is>
      </c>
      <c r="F47" s="5" t="n">
        <v>9</v>
      </c>
      <c r="G47" s="15">
        <f>F47+$B$2+$B$3</f>
        <v>14</v>
      </c>
      <c r="H47" s="23">
        <f>WORKDAY($B$4-G47+1,-1)</f>
        <v>46311</v>
      </c>
      <c r="I47" s="23">
        <f>WORKDAY($B$5-G47+1,-1)</f>
        <v>46367</v>
      </c>
      <c r="J47" s="23">
        <f>WORKDAY($B$6-G47+1,-1)</f>
        <v>46373</v>
      </c>
      <c r="K47" s="15" t="str">
        <f>IF(I47&lt;DATE(2026,12,5),"YES: not a Christmas product","no")</f>
        <v>no</v>
      </c>
      <c r="L47" s="15" t="str">
        <f>IF(F47&gt;=15,"EXCLUDED from Q4 (15+ day quote)",IF(I47&lt;DATE(2026,12,5),"Halloween/BF only","Q4 OK"))</f>
        <v>Q4 OK</v>
      </c>
    </row>
    <row r="48">
      <c r="A48" s="15" t="inlineStr">
        <is>
          <t>E16</t>
        </is>
      </c>
      <c r="B48" s="15" t="inlineStr">
        <is>
          <t>Hot pink multi-compartment desk and vanity organiser</t>
        </is>
      </c>
      <c r="C48" s="15" t="inlineStr">
        <is>
          <t>Evergreen</t>
        </is>
      </c>
      <c r="D48" s="15" t="inlineStr">
        <is>
          <t>CJ Dropshipping (US warehouse filter)</t>
        </is>
      </c>
      <c r="E48" s="15" t="inlineStr">
        <is>
          <t>US (NJ or CA)</t>
        </is>
      </c>
      <c r="F48" s="5" t="n">
        <v>9</v>
      </c>
      <c r="G48" s="15">
        <f>F48+$B$2+$B$3</f>
        <v>14</v>
      </c>
      <c r="H48" s="23">
        <f>WORKDAY($B$4-G48+1,-1)</f>
        <v>46311</v>
      </c>
      <c r="I48" s="23">
        <f>WORKDAY($B$5-G48+1,-1)</f>
        <v>46367</v>
      </c>
      <c r="J48" s="23">
        <f>WORKDAY($B$6-G48+1,-1)</f>
        <v>46373</v>
      </c>
      <c r="K48" s="15" t="str">
        <f>IF(I48&lt;DATE(2026,12,5),"YES: not a Christmas product","no")</f>
        <v>no</v>
      </c>
      <c r="L48" s="15" t="str">
        <f>IF(F48&gt;=15,"EXCLUDED from Q4 (15+ day quote)",IF(I48&lt;DATE(2026,12,5),"Halloween/BF only","Q4 OK"))</f>
        <v>Q4 OK</v>
      </c>
    </row>
    <row r="49">
      <c r="A49" s="15" t="inlineStr">
        <is>
          <t>E17</t>
        </is>
      </c>
      <c r="B49" s="15" t="inlineStr">
        <is>
          <t>Pink bow spa headband and wristband set</t>
        </is>
      </c>
      <c r="C49" s="15" t="inlineStr">
        <is>
          <t>Evergreen</t>
        </is>
      </c>
      <c r="D49" s="15" t="inlineStr">
        <is>
          <t>CJ Dropshipping (US warehouse filter)</t>
        </is>
      </c>
      <c r="E49" s="15" t="inlineStr">
        <is>
          <t>US (NJ or CA)</t>
        </is>
      </c>
      <c r="F49" s="5" t="n">
        <v>9</v>
      </c>
      <c r="G49" s="15">
        <f>F49+$B$2+$B$3</f>
        <v>14</v>
      </c>
      <c r="H49" s="23">
        <f>WORKDAY($B$4-G49+1,-1)</f>
        <v>46311</v>
      </c>
      <c r="I49" s="23">
        <f>WORKDAY($B$5-G49+1,-1)</f>
        <v>46367</v>
      </c>
      <c r="J49" s="23">
        <f>WORKDAY($B$6-G49+1,-1)</f>
        <v>46373</v>
      </c>
      <c r="K49" s="15" t="str">
        <f>IF(I49&lt;DATE(2026,12,5),"YES: not a Christmas product","no")</f>
        <v>no</v>
      </c>
      <c r="L49" s="15" t="str">
        <f>IF(F49&gt;=15,"EXCLUDED from Q4 (15+ day quote)",IF(I49&lt;DATE(2026,12,5),"Halloween/BF only","Q4 OK"))</f>
        <v>Q4 OK</v>
      </c>
    </row>
    <row r="50">
      <c r="A50" s="15" t="inlineStr">
        <is>
          <t>E18</t>
        </is>
      </c>
      <c r="B50" s="15" t="inlineStr">
        <is>
          <t>Covered acrylic makeup organiser with pink lid</t>
        </is>
      </c>
      <c r="C50" s="15" t="inlineStr">
        <is>
          <t>Evergreen</t>
        </is>
      </c>
      <c r="D50" s="15" t="inlineStr">
        <is>
          <t>CJ Dropshipping (US warehouse filter)</t>
        </is>
      </c>
      <c r="E50" s="15" t="inlineStr">
        <is>
          <t>US (NJ or CA)</t>
        </is>
      </c>
      <c r="F50" s="5" t="n">
        <v>9</v>
      </c>
      <c r="G50" s="15">
        <f>F50+$B$2+$B$3</f>
        <v>14</v>
      </c>
      <c r="H50" s="23">
        <f>WORKDAY($B$4-G50+1,-1)</f>
        <v>46311</v>
      </c>
      <c r="I50" s="23">
        <f>WORKDAY($B$5-G50+1,-1)</f>
        <v>46367</v>
      </c>
      <c r="J50" s="23">
        <f>WORKDAY($B$6-G50+1,-1)</f>
        <v>46373</v>
      </c>
      <c r="K50" s="15" t="str">
        <f>IF(I50&lt;DATE(2026,12,5),"YES: not a Christmas product","no")</f>
        <v>no</v>
      </c>
      <c r="L50" s="15" t="str">
        <f>IF(F50&gt;=15,"EXCLUDED from Q4 (15+ day quote)",IF(I50&lt;DATE(2026,12,5),"Halloween/BF only","Q4 OK"))</f>
        <v>Q4 OK</v>
      </c>
    </row>
    <row r="51">
      <c r="A51" s="15" t="inlineStr">
        <is>
          <t>E19</t>
        </is>
      </c>
      <c r="B51" s="15" t="inlineStr">
        <is>
          <t>Puffy pink slippers</t>
        </is>
      </c>
      <c r="C51" s="15" t="inlineStr">
        <is>
          <t>Evergreen</t>
        </is>
      </c>
      <c r="D51" s="15" t="inlineStr">
        <is>
          <t>CJ Dropshipping (US warehouse filter)</t>
        </is>
      </c>
      <c r="E51" s="15" t="inlineStr">
        <is>
          <t>US (NJ or CA)</t>
        </is>
      </c>
      <c r="F51" s="5" t="n">
        <v>9</v>
      </c>
      <c r="G51" s="15">
        <f>F51+$B$2+$B$3</f>
        <v>14</v>
      </c>
      <c r="H51" s="23">
        <f>WORKDAY($B$4-G51+1,-1)</f>
        <v>46311</v>
      </c>
      <c r="I51" s="23">
        <f>WORKDAY($B$5-G51+1,-1)</f>
        <v>46367</v>
      </c>
      <c r="J51" s="23">
        <f>WORKDAY($B$6-G51+1,-1)</f>
        <v>46373</v>
      </c>
      <c r="K51" s="15" t="str">
        <f>IF(I51&lt;DATE(2026,12,5),"YES: not a Christmas product","no")</f>
        <v>no</v>
      </c>
      <c r="L51" s="15" t="str">
        <f>IF(F51&gt;=15,"EXCLUDED from Q4 (15+ day quote)",IF(I51&lt;DATE(2026,12,5),"Halloween/BF only","Q4 OK"))</f>
        <v>Q4 OK</v>
      </c>
    </row>
    <row r="52">
      <c r="A52" s="15" t="inlineStr">
        <is>
          <t>E20</t>
        </is>
      </c>
      <c r="B52" s="15" t="inlineStr">
        <is>
          <t>Pink satin sleep mask with bow</t>
        </is>
      </c>
      <c r="C52" s="15" t="inlineStr">
        <is>
          <t>Evergreen</t>
        </is>
      </c>
      <c r="D52" s="15" t="inlineStr">
        <is>
          <t>CJ Dropshipping (US warehouse filter)</t>
        </is>
      </c>
      <c r="E52" s="15" t="inlineStr">
        <is>
          <t>US (NJ or CA)</t>
        </is>
      </c>
      <c r="F52" s="5" t="n">
        <v>9</v>
      </c>
      <c r="G52" s="15">
        <f>F52+$B$2+$B$3</f>
        <v>14</v>
      </c>
      <c r="H52" s="23">
        <f>WORKDAY($B$4-G52+1,-1)</f>
        <v>46311</v>
      </c>
      <c r="I52" s="23">
        <f>WORKDAY($B$5-G52+1,-1)</f>
        <v>46367</v>
      </c>
      <c r="J52" s="23">
        <f>WORKDAY($B$6-G52+1,-1)</f>
        <v>46373</v>
      </c>
      <c r="K52" s="15" t="str">
        <f>IF(I52&lt;DATE(2026,12,5),"YES: not a Christmas product","no")</f>
        <v>no</v>
      </c>
      <c r="L52" s="15" t="str">
        <f>IF(F52&gt;=15,"EXCLUDED from Q4 (15+ day quote)",IF(I52&lt;DATE(2026,12,5),"Halloween/BF only","Q4 OK"))</f>
        <v>Q4 OK</v>
      </c>
    </row>
    <row r="53">
      <c r="A53" s="15" t="inlineStr">
        <is>
          <t>E21</t>
        </is>
      </c>
      <c r="B53" s="15" t="inlineStr">
        <is>
          <t>Pink feather-trim pajama set</t>
        </is>
      </c>
      <c r="C53" s="15" t="inlineStr">
        <is>
          <t>Evergreen</t>
        </is>
      </c>
      <c r="D53" s="15" t="inlineStr">
        <is>
          <t>CJ Dropshipping (US warehouse filter)</t>
        </is>
      </c>
      <c r="E53" s="15" t="inlineStr">
        <is>
          <t>US (NJ or CA)</t>
        </is>
      </c>
      <c r="F53" s="5" t="n">
        <v>9</v>
      </c>
      <c r="G53" s="15">
        <f>F53+$B$2+$B$3</f>
        <v>14</v>
      </c>
      <c r="H53" s="23">
        <f>WORKDAY($B$4-G53+1,-1)</f>
        <v>46311</v>
      </c>
      <c r="I53" s="23">
        <f>WORKDAY($B$5-G53+1,-1)</f>
        <v>46367</v>
      </c>
      <c r="J53" s="23">
        <f>WORKDAY($B$6-G53+1,-1)</f>
        <v>46373</v>
      </c>
      <c r="K53" s="15" t="str">
        <f>IF(I53&lt;DATE(2026,12,5),"YES: not a Christmas product","no")</f>
        <v>no</v>
      </c>
      <c r="L53" s="15" t="str">
        <f>IF(F53&gt;=15,"EXCLUDED from Q4 (15+ day quote)",IF(I53&lt;DATE(2026,12,5),"Halloween/BF only","Q4 OK"))</f>
        <v>Q4 OK</v>
      </c>
    </row>
    <row r="54">
      <c r="A54" s="15" t="inlineStr">
        <is>
          <t>E22</t>
        </is>
      </c>
      <c r="B54" s="15" t="inlineStr">
        <is>
          <t>Pink satin heatless curling rod set</t>
        </is>
      </c>
      <c r="C54" s="15" t="inlineStr">
        <is>
          <t>Evergreen</t>
        </is>
      </c>
      <c r="D54" s="15" t="inlineStr">
        <is>
          <t>CJ Dropshipping (US warehouse filter)</t>
        </is>
      </c>
      <c r="E54" s="15" t="inlineStr">
        <is>
          <t>US (NJ or CA)</t>
        </is>
      </c>
      <c r="F54" s="5" t="n">
        <v>9</v>
      </c>
      <c r="G54" s="15">
        <f>F54+$B$2+$B$3</f>
        <v>14</v>
      </c>
      <c r="H54" s="23">
        <f>WORKDAY($B$4-G54+1,-1)</f>
        <v>46311</v>
      </c>
      <c r="I54" s="23">
        <f>WORKDAY($B$5-G54+1,-1)</f>
        <v>46367</v>
      </c>
      <c r="J54" s="23">
        <f>WORKDAY($B$6-G54+1,-1)</f>
        <v>46373</v>
      </c>
      <c r="K54" s="15" t="str">
        <f>IF(I54&lt;DATE(2026,12,5),"YES: not a Christmas product","no")</f>
        <v>no</v>
      </c>
      <c r="L54" s="15" t="str">
        <f>IF(F54&gt;=15,"EXCLUDED from Q4 (15+ day quote)",IF(I54&lt;DATE(2026,12,5),"Halloween/BF only","Q4 OK"))</f>
        <v>Q4 OK</v>
      </c>
    </row>
    <row r="55">
      <c r="A55" s="15" t="inlineStr">
        <is>
          <t>E23</t>
        </is>
      </c>
      <c r="B55" s="15" t="inlineStr">
        <is>
          <t>Pink robe with feather trim, one size</t>
        </is>
      </c>
      <c r="C55" s="15" t="inlineStr">
        <is>
          <t>Evergreen</t>
        </is>
      </c>
      <c r="D55" s="15" t="inlineStr">
        <is>
          <t>CJ Dropshipping (US warehouse filter)</t>
        </is>
      </c>
      <c r="E55" s="15" t="inlineStr">
        <is>
          <t>US (NJ or CA)</t>
        </is>
      </c>
      <c r="F55" s="5" t="n">
        <v>9</v>
      </c>
      <c r="G55" s="15">
        <f>F55+$B$2+$B$3</f>
        <v>14</v>
      </c>
      <c r="H55" s="23">
        <f>WORKDAY($B$4-G55+1,-1)</f>
        <v>46311</v>
      </c>
      <c r="I55" s="23">
        <f>WORKDAY($B$5-G55+1,-1)</f>
        <v>46367</v>
      </c>
      <c r="J55" s="23">
        <f>WORKDAY($B$6-G55+1,-1)</f>
        <v>46373</v>
      </c>
      <c r="K55" s="15" t="str">
        <f>IF(I55&lt;DATE(2026,12,5),"YES: not a Christmas product","no")</f>
        <v>no</v>
      </c>
      <c r="L55" s="15" t="str">
        <f>IF(F55&gt;=15,"EXCLUDED from Q4 (15+ day quote)",IF(I55&lt;DATE(2026,12,5),"Halloween/BF only","Q4 OK"))</f>
        <v>Q4 OK</v>
      </c>
    </row>
    <row r="56">
      <c r="A56" s="15" t="inlineStr">
        <is>
          <t>E24</t>
        </is>
      </c>
      <c r="B56" s="15" t="inlineStr">
        <is>
          <t>Cream hooded wearable blanket</t>
        </is>
      </c>
      <c r="C56" s="15" t="inlineStr">
        <is>
          <t>Evergreen</t>
        </is>
      </c>
      <c r="D56" s="15" t="inlineStr">
        <is>
          <t>CJ Dropshipping (US warehouse filter)</t>
        </is>
      </c>
      <c r="E56" s="15" t="inlineStr">
        <is>
          <t>US (NJ or CA)</t>
        </is>
      </c>
      <c r="F56" s="5" t="n">
        <v>9</v>
      </c>
      <c r="G56" s="15">
        <f>F56+$B$2+$B$3</f>
        <v>14</v>
      </c>
      <c r="H56" s="23">
        <f>WORKDAY($B$4-G56+1,-1)</f>
        <v>46311</v>
      </c>
      <c r="I56" s="23">
        <f>WORKDAY($B$5-G56+1,-1)</f>
        <v>46367</v>
      </c>
      <c r="J56" s="23">
        <f>WORKDAY($B$6-G56+1,-1)</f>
        <v>46373</v>
      </c>
      <c r="K56" s="15" t="str">
        <f>IF(I56&lt;DATE(2026,12,5),"YES: not a Christmas product","no")</f>
        <v>no</v>
      </c>
      <c r="L56" s="15" t="str">
        <f>IF(F56&gt;=15,"EXCLUDED from Q4 (15+ day quote)",IF(I56&lt;DATE(2026,12,5),"Halloween/BF only","Q4 OK"))</f>
        <v>Q4 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2026-09-27T07:57:44Z</dcterms:created>
  <dcterms:modified xsi:type="dcterms:W3CDTF">2026-09-27T07:57:44Z</dcterms:modified>
</cp:coreProperties>
</file>